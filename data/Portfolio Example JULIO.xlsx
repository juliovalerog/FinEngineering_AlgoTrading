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ober\Folder\Albert School\Trading\"/>
    </mc:Choice>
  </mc:AlternateContent>
  <xr:revisionPtr revIDLastSave="0" documentId="13_ncr:1_{8E042484-9539-414E-82C7-41DB527C28D5}" xr6:coauthVersionLast="47" xr6:coauthVersionMax="47" xr10:uidLastSave="{00000000-0000-0000-0000-000000000000}"/>
  <bookViews>
    <workbookView xWindow="-120" yWindow="-120" windowWidth="29040" windowHeight="15720" xr2:uid="{6A607D48-2ACF-49F2-A8F6-5D33B32D5A14}"/>
  </bookViews>
  <sheets>
    <sheet name="TRACK" sheetId="1" r:id="rId1"/>
    <sheet name="Portfolio" sheetId="9" r:id="rId2"/>
    <sheet name="Precios" sheetId="7" r:id="rId3"/>
    <sheet name="Cost" sheetId="11" r:id="rId4"/>
    <sheet name="Value" sheetId="8" r:id="rId5"/>
    <sheet name="NEW TRADES" sheetId="14" r:id="rId6"/>
  </sheets>
  <calcPr calcId="181029" iterate="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14" l="1"/>
  <c r="H10" i="14"/>
  <c r="H9" i="14"/>
  <c r="H8" i="14"/>
  <c r="H7" i="14"/>
  <c r="H6" i="14" l="1"/>
  <c r="H5" i="14"/>
  <c r="A55" i="9" l="1"/>
  <c r="A56" i="9"/>
  <c r="A57" i="9"/>
  <c r="A58" i="9"/>
  <c r="A59" i="9"/>
  <c r="A60" i="9"/>
  <c r="A61" i="9"/>
  <c r="K84" i="1"/>
  <c r="K75" i="1"/>
  <c r="A111" i="9"/>
  <c r="A110" i="9"/>
  <c r="A109" i="9"/>
  <c r="A108" i="9"/>
  <c r="A107" i="9"/>
  <c r="F77" i="1"/>
  <c r="F78" i="1"/>
  <c r="K87" i="1" l="1"/>
  <c r="K86" i="1"/>
  <c r="K85" i="1"/>
  <c r="K83" i="1"/>
  <c r="K82" i="1"/>
  <c r="K81" i="1"/>
  <c r="K80" i="1"/>
  <c r="K79" i="1"/>
  <c r="K78" i="1"/>
  <c r="K77" i="1"/>
  <c r="K76" i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BV5" i="8"/>
  <c r="BV115" i="8" s="1"/>
  <c r="BS115" i="11"/>
  <c r="BS5" i="11"/>
  <c r="F84" i="1"/>
  <c r="H84" i="1" s="1"/>
  <c r="L72" i="1"/>
  <c r="H72" i="1"/>
  <c r="BR113" i="8"/>
  <c r="BR112" i="8"/>
  <c r="BR4" i="8"/>
  <c r="BR115" i="8" s="1"/>
  <c r="BO5" i="8"/>
  <c r="BO115" i="8" s="1"/>
  <c r="BL115" i="11"/>
  <c r="BL5" i="11"/>
  <c r="L71" i="1"/>
  <c r="M71" i="1"/>
  <c r="BU4" i="8"/>
  <c r="BU115" i="8" s="1"/>
  <c r="BR114" i="11"/>
  <c r="H61" i="1"/>
  <c r="H62" i="1"/>
  <c r="H63" i="1"/>
  <c r="H64" i="1"/>
  <c r="H65" i="1"/>
  <c r="F83" i="1"/>
  <c r="F70" i="1"/>
  <c r="L70" i="1"/>
  <c r="BN5" i="8"/>
  <c r="BN115" i="8"/>
  <c r="BN114" i="8"/>
  <c r="BK114" i="11"/>
  <c r="F79" i="1"/>
  <c r="L69" i="1"/>
  <c r="M69" i="1"/>
  <c r="BK111" i="11"/>
  <c r="BK112" i="11" s="1"/>
  <c r="BK113" i="11" s="1"/>
  <c r="BK4" i="11"/>
  <c r="BN4" i="8" s="1"/>
  <c r="BT4" i="8"/>
  <c r="BT115" i="8" s="1"/>
  <c r="BQ111" i="8"/>
  <c r="BQ112" i="8"/>
  <c r="BQ113" i="8"/>
  <c r="BQ114" i="8"/>
  <c r="BQ115" i="8"/>
  <c r="BJ111" i="8"/>
  <c r="BJ112" i="8"/>
  <c r="BJ113" i="8"/>
  <c r="BJ114" i="8"/>
  <c r="BJ115" i="8"/>
  <c r="BJ116" i="8"/>
  <c r="BH113" i="8"/>
  <c r="BH4" i="8"/>
  <c r="BH114" i="8" s="1"/>
  <c r="BY115" i="8"/>
  <c r="BY114" i="8"/>
  <c r="BY113" i="8"/>
  <c r="BY112" i="8"/>
  <c r="BY111" i="8"/>
  <c r="BY110" i="8"/>
  <c r="BY109" i="8"/>
  <c r="BY108" i="8"/>
  <c r="BY107" i="8"/>
  <c r="BY106" i="8"/>
  <c r="BY105" i="8"/>
  <c r="BY104" i="8"/>
  <c r="BY103" i="8"/>
  <c r="BY6" i="8"/>
  <c r="BY3" i="8"/>
  <c r="BY2" i="8"/>
  <c r="BY1" i="8"/>
  <c r="BV114" i="11"/>
  <c r="BV115" i="11" s="1"/>
  <c r="BV6" i="11"/>
  <c r="BV3" i="11"/>
  <c r="BV2" i="11"/>
  <c r="BV1" i="11"/>
  <c r="BV114" i="8"/>
  <c r="BV112" i="8"/>
  <c r="BV4" i="8"/>
  <c r="BV113" i="8" s="1"/>
  <c r="BO113" i="11"/>
  <c r="BO114" i="11" s="1"/>
  <c r="BO115" i="11" s="1"/>
  <c r="BQ111" i="11"/>
  <c r="BQ112" i="11" s="1"/>
  <c r="BQ114" i="11" s="1"/>
  <c r="BQ115" i="11" s="1"/>
  <c r="BR111" i="11"/>
  <c r="BR112" i="11" s="1"/>
  <c r="BR113" i="11" s="1"/>
  <c r="BS113" i="11"/>
  <c r="BS114" i="11" s="1"/>
  <c r="BS111" i="11"/>
  <c r="BT111" i="11"/>
  <c r="BT112" i="11" s="1"/>
  <c r="BT113" i="11" s="1"/>
  <c r="BT114" i="11" s="1"/>
  <c r="BT115" i="11" s="1"/>
  <c r="BU112" i="11"/>
  <c r="BU113" i="11" s="1"/>
  <c r="BU114" i="11" s="1"/>
  <c r="BU115" i="11" s="1"/>
  <c r="BX115" i="8"/>
  <c r="BW115" i="8"/>
  <c r="BX114" i="8"/>
  <c r="BW114" i="8"/>
  <c r="BX113" i="8"/>
  <c r="BW113" i="8"/>
  <c r="BX112" i="8"/>
  <c r="BW112" i="8"/>
  <c r="BX111" i="8"/>
  <c r="BW111" i="8"/>
  <c r="BX110" i="8"/>
  <c r="BU6" i="11"/>
  <c r="BU3" i="11"/>
  <c r="BU2" i="11"/>
  <c r="BU1" i="11"/>
  <c r="BM115" i="8"/>
  <c r="BL115" i="8"/>
  <c r="BK115" i="8"/>
  <c r="BM114" i="8"/>
  <c r="BL114" i="8"/>
  <c r="BK114" i="8"/>
  <c r="BM113" i="8"/>
  <c r="BL113" i="8"/>
  <c r="BK113" i="8"/>
  <c r="BM112" i="8"/>
  <c r="BL112" i="8"/>
  <c r="BK112" i="8"/>
  <c r="BM111" i="8"/>
  <c r="BL111" i="8"/>
  <c r="BK111" i="8"/>
  <c r="BI115" i="8"/>
  <c r="BI114" i="8"/>
  <c r="BI113" i="8"/>
  <c r="BI112" i="8"/>
  <c r="BI111" i="8"/>
  <c r="BG115" i="8"/>
  <c r="BF115" i="8"/>
  <c r="BE115" i="8"/>
  <c r="BD115" i="8"/>
  <c r="BC115" i="8"/>
  <c r="BB115" i="8"/>
  <c r="BA115" i="8"/>
  <c r="AZ115" i="8"/>
  <c r="BG114" i="8"/>
  <c r="BF114" i="8"/>
  <c r="BE114" i="8"/>
  <c r="BD114" i="8"/>
  <c r="BC114" i="8"/>
  <c r="BB114" i="8"/>
  <c r="BA114" i="8"/>
  <c r="AZ114" i="8"/>
  <c r="BG113" i="8"/>
  <c r="BF113" i="8"/>
  <c r="BE113" i="8"/>
  <c r="BD113" i="8"/>
  <c r="BC113" i="8"/>
  <c r="BB113" i="8"/>
  <c r="BA113" i="8"/>
  <c r="AZ113" i="8"/>
  <c r="BG112" i="8"/>
  <c r="BF112" i="8"/>
  <c r="BE112" i="8"/>
  <c r="BD112" i="8"/>
  <c r="BC112" i="8"/>
  <c r="BB112" i="8"/>
  <c r="BA112" i="8"/>
  <c r="AZ112" i="8"/>
  <c r="BG111" i="8"/>
  <c r="BF111" i="8"/>
  <c r="BE111" i="8"/>
  <c r="BD111" i="8"/>
  <c r="BC111" i="8"/>
  <c r="BB111" i="8"/>
  <c r="BA111" i="8"/>
  <c r="AZ111" i="8"/>
  <c r="AX115" i="8"/>
  <c r="AW115" i="8"/>
  <c r="AV115" i="8"/>
  <c r="AU115" i="8"/>
  <c r="AT115" i="8"/>
  <c r="AS115" i="8"/>
  <c r="AR115" i="8"/>
  <c r="AQ115" i="8"/>
  <c r="AP115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AX113" i="8"/>
  <c r="AW113" i="8"/>
  <c r="AV113" i="8"/>
  <c r="AU113" i="8"/>
  <c r="AT113" i="8"/>
  <c r="AS113" i="8"/>
  <c r="AR113" i="8"/>
  <c r="AQ113" i="8"/>
  <c r="AP113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AY112" i="8"/>
  <c r="AY110" i="8"/>
  <c r="AY109" i="8"/>
  <c r="AY108" i="8"/>
  <c r="AY107" i="8"/>
  <c r="AY106" i="8"/>
  <c r="AY105" i="8"/>
  <c r="AY104" i="8"/>
  <c r="AY103" i="8"/>
  <c r="AY102" i="8"/>
  <c r="AY101" i="8"/>
  <c r="AY100" i="8"/>
  <c r="AY99" i="8"/>
  <c r="AY98" i="8"/>
  <c r="AY97" i="8"/>
  <c r="AY96" i="8"/>
  <c r="AY95" i="8"/>
  <c r="AY94" i="8"/>
  <c r="AY93" i="8"/>
  <c r="AY92" i="8"/>
  <c r="AY91" i="8"/>
  <c r="AY90" i="8"/>
  <c r="AY89" i="8"/>
  <c r="AY88" i="8"/>
  <c r="AY87" i="8"/>
  <c r="AY86" i="8"/>
  <c r="AY85" i="8"/>
  <c r="AY84" i="8"/>
  <c r="AY83" i="8"/>
  <c r="AY82" i="8"/>
  <c r="AY81" i="8"/>
  <c r="AY80" i="8"/>
  <c r="AY79" i="8"/>
  <c r="AY78" i="8"/>
  <c r="AY77" i="8"/>
  <c r="AY76" i="8"/>
  <c r="AY75" i="8"/>
  <c r="AY74" i="8"/>
  <c r="AY73" i="8"/>
  <c r="AY72" i="8"/>
  <c r="AY71" i="8"/>
  <c r="AY70" i="8"/>
  <c r="AY69" i="8"/>
  <c r="AY68" i="8"/>
  <c r="AY67" i="8"/>
  <c r="AY66" i="8"/>
  <c r="AY65" i="8"/>
  <c r="AY64" i="8"/>
  <c r="AY63" i="8"/>
  <c r="AY62" i="8"/>
  <c r="AY61" i="8"/>
  <c r="AY60" i="8"/>
  <c r="AY59" i="8"/>
  <c r="AY58" i="8"/>
  <c r="AY57" i="8"/>
  <c r="AY56" i="8"/>
  <c r="AY55" i="8"/>
  <c r="AY54" i="8"/>
  <c r="AY53" i="8"/>
  <c r="AY52" i="8"/>
  <c r="AY51" i="8"/>
  <c r="AY50" i="8"/>
  <c r="AY49" i="8"/>
  <c r="AY48" i="8"/>
  <c r="AY47" i="8"/>
  <c r="AY46" i="8"/>
  <c r="AY45" i="8"/>
  <c r="AY44" i="8"/>
  <c r="AY43" i="8"/>
  <c r="AY42" i="8"/>
  <c r="AY41" i="8"/>
  <c r="AY40" i="8"/>
  <c r="AY39" i="8"/>
  <c r="AY38" i="8"/>
  <c r="AY37" i="8"/>
  <c r="AY36" i="8"/>
  <c r="AY35" i="8"/>
  <c r="AY34" i="8"/>
  <c r="AY33" i="8"/>
  <c r="AY32" i="8"/>
  <c r="AY31" i="8"/>
  <c r="AY30" i="8"/>
  <c r="AY29" i="8"/>
  <c r="AY28" i="8"/>
  <c r="AY27" i="8"/>
  <c r="AY26" i="8"/>
  <c r="AY25" i="8"/>
  <c r="AY24" i="8"/>
  <c r="AY23" i="8"/>
  <c r="AY22" i="8"/>
  <c r="AY21" i="8"/>
  <c r="AY20" i="8"/>
  <c r="AY19" i="8"/>
  <c r="AY18" i="8"/>
  <c r="AY17" i="8"/>
  <c r="AY16" i="8"/>
  <c r="AY15" i="8"/>
  <c r="AY14" i="8"/>
  <c r="AY13" i="8"/>
  <c r="AY12" i="8"/>
  <c r="AY11" i="8"/>
  <c r="AY10" i="8"/>
  <c r="AY9" i="8"/>
  <c r="AY8" i="8"/>
  <c r="AY7" i="8"/>
  <c r="AY4" i="8"/>
  <c r="AY111" i="8" s="1"/>
  <c r="AV111" i="11"/>
  <c r="AV112" i="11" s="1"/>
  <c r="AV113" i="11" s="1"/>
  <c r="AV114" i="11" s="1"/>
  <c r="AV115" i="11" s="1"/>
  <c r="B115" i="11"/>
  <c r="B114" i="11"/>
  <c r="B113" i="11"/>
  <c r="B112" i="11"/>
  <c r="B111" i="11"/>
  <c r="E111" i="8"/>
  <c r="E112" i="8"/>
  <c r="E113" i="8"/>
  <c r="E114" i="8"/>
  <c r="E115" i="8"/>
  <c r="B110" i="11"/>
  <c r="B109" i="11"/>
  <c r="B108" i="11"/>
  <c r="B107" i="11"/>
  <c r="B106" i="11"/>
  <c r="B105" i="11"/>
  <c r="B104" i="11"/>
  <c r="B103" i="11"/>
  <c r="B102" i="11"/>
  <c r="B101" i="11"/>
  <c r="B100" i="11"/>
  <c r="BX109" i="8"/>
  <c r="BX108" i="8"/>
  <c r="BX107" i="8"/>
  <c r="BX106" i="8"/>
  <c r="BX105" i="8"/>
  <c r="BX104" i="8"/>
  <c r="BX103" i="8"/>
  <c r="BW110" i="8"/>
  <c r="BW109" i="8"/>
  <c r="BW108" i="8"/>
  <c r="BW107" i="8"/>
  <c r="BW106" i="8"/>
  <c r="BW105" i="8"/>
  <c r="BW104" i="8"/>
  <c r="BW103" i="8"/>
  <c r="BS110" i="8"/>
  <c r="BS109" i="8"/>
  <c r="BS108" i="8"/>
  <c r="BS107" i="8"/>
  <c r="BS106" i="8"/>
  <c r="BS105" i="8"/>
  <c r="BS104" i="8"/>
  <c r="BS103" i="8"/>
  <c r="BQ110" i="8"/>
  <c r="BQ109" i="8"/>
  <c r="BQ108" i="8"/>
  <c r="BQ107" i="8"/>
  <c r="BQ106" i="8"/>
  <c r="BQ105" i="8"/>
  <c r="BQ104" i="8"/>
  <c r="BQ103" i="8"/>
  <c r="BP110" i="8"/>
  <c r="BM110" i="8"/>
  <c r="BL110" i="8"/>
  <c r="BK110" i="8"/>
  <c r="BJ110" i="8"/>
  <c r="BI110" i="8"/>
  <c r="BG110" i="8"/>
  <c r="BF110" i="8"/>
  <c r="BE110" i="8"/>
  <c r="BD110" i="8"/>
  <c r="BC110" i="8"/>
  <c r="BB110" i="8"/>
  <c r="BA110" i="8"/>
  <c r="AZ110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BP109" i="8"/>
  <c r="BM109" i="8"/>
  <c r="BL109" i="8"/>
  <c r="BK109" i="8"/>
  <c r="BJ109" i="8"/>
  <c r="BI109" i="8"/>
  <c r="BG109" i="8"/>
  <c r="BF109" i="8"/>
  <c r="BE109" i="8"/>
  <c r="BD109" i="8"/>
  <c r="BC109" i="8"/>
  <c r="BB109" i="8"/>
  <c r="BA109" i="8"/>
  <c r="AZ109" i="8"/>
  <c r="AX109" i="8"/>
  <c r="AW109" i="8"/>
  <c r="AV109" i="8"/>
  <c r="AU109" i="8"/>
  <c r="AT109" i="8"/>
  <c r="AS109" i="8"/>
  <c r="AR109" i="8"/>
  <c r="AQ109" i="8"/>
  <c r="AP109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BP108" i="8"/>
  <c r="BM108" i="8"/>
  <c r="BL108" i="8"/>
  <c r="BK108" i="8"/>
  <c r="BJ108" i="8"/>
  <c r="BI108" i="8"/>
  <c r="BG108" i="8"/>
  <c r="BF108" i="8"/>
  <c r="BE108" i="8"/>
  <c r="BD108" i="8"/>
  <c r="BC108" i="8"/>
  <c r="BB108" i="8"/>
  <c r="BA108" i="8"/>
  <c r="AZ108" i="8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BP107" i="8"/>
  <c r="BM107" i="8"/>
  <c r="BL107" i="8"/>
  <c r="BK107" i="8"/>
  <c r="BJ107" i="8"/>
  <c r="BI107" i="8"/>
  <c r="BG107" i="8"/>
  <c r="BF107" i="8"/>
  <c r="BE107" i="8"/>
  <c r="BD107" i="8"/>
  <c r="BC107" i="8"/>
  <c r="BB107" i="8"/>
  <c r="BA107" i="8"/>
  <c r="AZ107" i="8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BP106" i="8"/>
  <c r="BM106" i="8"/>
  <c r="BL106" i="8"/>
  <c r="BK106" i="8"/>
  <c r="BJ106" i="8"/>
  <c r="BI106" i="8"/>
  <c r="BG106" i="8"/>
  <c r="BF106" i="8"/>
  <c r="BE106" i="8"/>
  <c r="BD106" i="8"/>
  <c r="BC106" i="8"/>
  <c r="BB106" i="8"/>
  <c r="BA106" i="8"/>
  <c r="AZ106" i="8"/>
  <c r="AX106" i="8"/>
  <c r="AW106" i="8"/>
  <c r="AV106" i="8"/>
  <c r="AU106" i="8"/>
  <c r="AT106" i="8"/>
  <c r="AS106" i="8"/>
  <c r="AR106" i="8"/>
  <c r="AQ106" i="8"/>
  <c r="AP106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BP105" i="8"/>
  <c r="BM105" i="8"/>
  <c r="BL105" i="8"/>
  <c r="BK105" i="8"/>
  <c r="BJ105" i="8"/>
  <c r="BI105" i="8"/>
  <c r="BG105" i="8"/>
  <c r="BF105" i="8"/>
  <c r="BE105" i="8"/>
  <c r="BD105" i="8"/>
  <c r="BC105" i="8"/>
  <c r="BB105" i="8"/>
  <c r="BA105" i="8"/>
  <c r="AZ105" i="8"/>
  <c r="AX105" i="8"/>
  <c r="AW105" i="8"/>
  <c r="AV105" i="8"/>
  <c r="AU105" i="8"/>
  <c r="AT105" i="8"/>
  <c r="AS105" i="8"/>
  <c r="AR105" i="8"/>
  <c r="AQ105" i="8"/>
  <c r="AP105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BP104" i="8"/>
  <c r="BM104" i="8"/>
  <c r="BL104" i="8"/>
  <c r="BK104" i="8"/>
  <c r="BJ104" i="8"/>
  <c r="BI104" i="8"/>
  <c r="BG104" i="8"/>
  <c r="BF104" i="8"/>
  <c r="BE104" i="8"/>
  <c r="BD104" i="8"/>
  <c r="BC104" i="8"/>
  <c r="BB104" i="8"/>
  <c r="BA104" i="8"/>
  <c r="AZ104" i="8"/>
  <c r="AX104" i="8"/>
  <c r="AW104" i="8"/>
  <c r="AV104" i="8"/>
  <c r="AU104" i="8"/>
  <c r="AT104" i="8"/>
  <c r="AS104" i="8"/>
  <c r="AR104" i="8"/>
  <c r="AQ104" i="8"/>
  <c r="AP104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BP103" i="8"/>
  <c r="BM103" i="8"/>
  <c r="BL103" i="8"/>
  <c r="BK103" i="8"/>
  <c r="BJ103" i="8"/>
  <c r="BI103" i="8"/>
  <c r="BG103" i="8"/>
  <c r="BF103" i="8"/>
  <c r="BE103" i="8"/>
  <c r="BD103" i="8"/>
  <c r="BC103" i="8"/>
  <c r="BB103" i="8"/>
  <c r="BA103" i="8"/>
  <c r="AZ103" i="8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BM103" i="11"/>
  <c r="BL103" i="11"/>
  <c r="F82" i="1"/>
  <c r="F68" i="1"/>
  <c r="L68" i="1"/>
  <c r="F76" i="1"/>
  <c r="F67" i="1"/>
  <c r="L67" i="1"/>
  <c r="F80" i="1"/>
  <c r="H66" i="1"/>
  <c r="L66" i="1"/>
  <c r="M66" i="1"/>
  <c r="H78" i="1"/>
  <c r="L65" i="1"/>
  <c r="L64" i="1"/>
  <c r="M64" i="1"/>
  <c r="F75" i="1"/>
  <c r="L63" i="1"/>
  <c r="M63" i="1"/>
  <c r="L62" i="1"/>
  <c r="M62" i="1"/>
  <c r="BR114" i="8" l="1"/>
  <c r="BU114" i="8"/>
  <c r="B111" i="9"/>
  <c r="H70" i="1"/>
  <c r="L87" i="1"/>
  <c r="H68" i="1"/>
  <c r="H67" i="1"/>
  <c r="H79" i="1"/>
  <c r="L86" i="1"/>
  <c r="H80" i="1"/>
  <c r="H82" i="1"/>
  <c r="B111" i="8"/>
  <c r="H76" i="1"/>
  <c r="M72" i="1"/>
  <c r="B115" i="8" s="1"/>
  <c r="H71" i="1"/>
  <c r="BR115" i="11"/>
  <c r="M70" i="1"/>
  <c r="B114" i="8" s="1"/>
  <c r="BK115" i="11"/>
  <c r="H69" i="1"/>
  <c r="M67" i="1"/>
  <c r="B113" i="8" s="1"/>
  <c r="BN113" i="8"/>
  <c r="AY113" i="8"/>
  <c r="BT113" i="8"/>
  <c r="AY114" i="8"/>
  <c r="AY115" i="8"/>
  <c r="A115" i="8" s="1"/>
  <c r="BN111" i="8"/>
  <c r="BN112" i="8"/>
  <c r="BH115" i="8"/>
  <c r="BT114" i="8"/>
  <c r="BE114" i="11"/>
  <c r="BE115" i="11" s="1"/>
  <c r="M68" i="1"/>
  <c r="M65" i="1"/>
  <c r="B112" i="8" s="1"/>
  <c r="BO104" i="11"/>
  <c r="BO105" i="11" s="1"/>
  <c r="BO106" i="11" s="1"/>
  <c r="BO107" i="11" s="1"/>
  <c r="BO108" i="11" s="1"/>
  <c r="BO109" i="11" s="1"/>
  <c r="BO110" i="11" s="1"/>
  <c r="BO111" i="11" s="1"/>
  <c r="BN104" i="11"/>
  <c r="BN105" i="11" s="1"/>
  <c r="BN106" i="11" s="1"/>
  <c r="BN107" i="11" s="1"/>
  <c r="BN108" i="11" s="1"/>
  <c r="BN109" i="11" s="1"/>
  <c r="BN110" i="11" s="1"/>
  <c r="BN111" i="11" s="1"/>
  <c r="BN112" i="11" s="1"/>
  <c r="BN113" i="11" s="1"/>
  <c r="BN114" i="11" s="1"/>
  <c r="BN115" i="11" s="1"/>
  <c r="BT6" i="11"/>
  <c r="BS6" i="11"/>
  <c r="BR6" i="11"/>
  <c r="BQ6" i="11"/>
  <c r="BP6" i="11"/>
  <c r="BO6" i="11"/>
  <c r="BN6" i="11"/>
  <c r="BT3" i="11"/>
  <c r="BS3" i="11"/>
  <c r="BR3" i="11"/>
  <c r="BQ3" i="11"/>
  <c r="BP3" i="11"/>
  <c r="BO3" i="11"/>
  <c r="BN3" i="11"/>
  <c r="BT2" i="11"/>
  <c r="BS2" i="11"/>
  <c r="BR2" i="11"/>
  <c r="BQ2" i="11"/>
  <c r="BP2" i="11"/>
  <c r="BO2" i="11"/>
  <c r="BN2" i="11"/>
  <c r="BT1" i="11"/>
  <c r="BS1" i="11"/>
  <c r="BR1" i="11"/>
  <c r="BQ1" i="11"/>
  <c r="BP1" i="11"/>
  <c r="BO1" i="11"/>
  <c r="BN1" i="11"/>
  <c r="BM7" i="11"/>
  <c r="BM8" i="11"/>
  <c r="BM9" i="11"/>
  <c r="BM10" i="11"/>
  <c r="BM11" i="11"/>
  <c r="BM12" i="11"/>
  <c r="BM13" i="11"/>
  <c r="BM14" i="11"/>
  <c r="BM15" i="11"/>
  <c r="BM16" i="11"/>
  <c r="BM17" i="11"/>
  <c r="BM18" i="11"/>
  <c r="BM19" i="11"/>
  <c r="BM20" i="11"/>
  <c r="BM21" i="11"/>
  <c r="BM22" i="11"/>
  <c r="BM23" i="11"/>
  <c r="BM24" i="11"/>
  <c r="BM25" i="11"/>
  <c r="BM26" i="11"/>
  <c r="BM27" i="11"/>
  <c r="BM28" i="11"/>
  <c r="BM29" i="11"/>
  <c r="BM30" i="11"/>
  <c r="BM31" i="11"/>
  <c r="BM32" i="11"/>
  <c r="BM33" i="11"/>
  <c r="BM34" i="11"/>
  <c r="BM35" i="11"/>
  <c r="BM36" i="11"/>
  <c r="BM37" i="11"/>
  <c r="BM38" i="11"/>
  <c r="BM39" i="11"/>
  <c r="BM40" i="11"/>
  <c r="BM41" i="11"/>
  <c r="BM42" i="11"/>
  <c r="BM43" i="11"/>
  <c r="BM44" i="11"/>
  <c r="BM45" i="11"/>
  <c r="BM46" i="11"/>
  <c r="BM47" i="11"/>
  <c r="BM48" i="11"/>
  <c r="BM49" i="11"/>
  <c r="BM50" i="11"/>
  <c r="BM51" i="11"/>
  <c r="BM52" i="11"/>
  <c r="BM53" i="11"/>
  <c r="BM54" i="11"/>
  <c r="BM55" i="11"/>
  <c r="BM56" i="11"/>
  <c r="BM57" i="11"/>
  <c r="BM58" i="11"/>
  <c r="BM59" i="11"/>
  <c r="BM60" i="11"/>
  <c r="BM61" i="11"/>
  <c r="BM62" i="11"/>
  <c r="BM63" i="11"/>
  <c r="BQ1" i="8"/>
  <c r="BR1" i="8"/>
  <c r="BS1" i="8"/>
  <c r="BT1" i="8"/>
  <c r="BU1" i="8"/>
  <c r="BV1" i="8"/>
  <c r="BW1" i="8"/>
  <c r="BX1" i="8"/>
  <c r="BQ2" i="8"/>
  <c r="BR2" i="8"/>
  <c r="BS2" i="8"/>
  <c r="BT2" i="8"/>
  <c r="BU2" i="8"/>
  <c r="BV2" i="8"/>
  <c r="BW2" i="8"/>
  <c r="BX2" i="8"/>
  <c r="BQ3" i="8"/>
  <c r="BR3" i="8"/>
  <c r="BS3" i="8"/>
  <c r="BT3" i="8"/>
  <c r="BU3" i="8"/>
  <c r="BV3" i="8"/>
  <c r="BW3" i="8"/>
  <c r="BX3" i="8"/>
  <c r="BQ6" i="8"/>
  <c r="BR6" i="8"/>
  <c r="BS6" i="8"/>
  <c r="BT6" i="8"/>
  <c r="BU6" i="8"/>
  <c r="BV6" i="8"/>
  <c r="BW6" i="8"/>
  <c r="BX6" i="8"/>
  <c r="A99" i="9"/>
  <c r="A100" i="9"/>
  <c r="A101" i="9"/>
  <c r="A102" i="9"/>
  <c r="A103" i="9"/>
  <c r="A104" i="9"/>
  <c r="A105" i="9"/>
  <c r="A106" i="9"/>
  <c r="M60" i="1"/>
  <c r="B107" i="8" s="1"/>
  <c r="M59" i="1"/>
  <c r="M58" i="1"/>
  <c r="M48" i="1"/>
  <c r="M39" i="1"/>
  <c r="M38" i="1"/>
  <c r="M37" i="1"/>
  <c r="M36" i="1"/>
  <c r="M35" i="1"/>
  <c r="M31" i="1"/>
  <c r="M28" i="1"/>
  <c r="M27" i="1"/>
  <c r="M24" i="1"/>
  <c r="M22" i="1"/>
  <c r="M21" i="1"/>
  <c r="M20" i="1"/>
  <c r="M19" i="1"/>
  <c r="M18" i="1"/>
  <c r="M17" i="1"/>
  <c r="M15" i="1"/>
  <c r="M13" i="1"/>
  <c r="M12" i="1"/>
  <c r="M11" i="1"/>
  <c r="M10" i="1"/>
  <c r="M9" i="1"/>
  <c r="M8" i="1"/>
  <c r="M7" i="1"/>
  <c r="M6" i="1"/>
  <c r="M5" i="1"/>
  <c r="M4" i="1"/>
  <c r="M3" i="1"/>
  <c r="L85" i="1"/>
  <c r="L84" i="1"/>
  <c r="M84" i="1"/>
  <c r="L83" i="1"/>
  <c r="M83" i="1"/>
  <c r="L82" i="1"/>
  <c r="M82" i="1"/>
  <c r="L81" i="1"/>
  <c r="F81" i="1"/>
  <c r="L80" i="1"/>
  <c r="M80" i="1"/>
  <c r="L61" i="1"/>
  <c r="M61" i="1"/>
  <c r="L60" i="1"/>
  <c r="H60" i="1"/>
  <c r="L59" i="1"/>
  <c r="H59" i="1"/>
  <c r="L58" i="1"/>
  <c r="H58" i="1"/>
  <c r="BF86" i="11" s="1"/>
  <c r="BM104" i="11"/>
  <c r="BL104" i="11"/>
  <c r="BL105" i="11" s="1"/>
  <c r="BL106" i="11" s="1"/>
  <c r="BL107" i="11" s="1"/>
  <c r="BL108" i="11" s="1"/>
  <c r="BL109" i="11" s="1"/>
  <c r="BL110" i="11" s="1"/>
  <c r="BL111" i="11" s="1"/>
  <c r="BL113" i="11" s="1"/>
  <c r="BL114" i="11" s="1"/>
  <c r="BU106" i="8" l="1"/>
  <c r="BU105" i="8"/>
  <c r="BU112" i="8"/>
  <c r="BU107" i="8"/>
  <c r="BU104" i="8"/>
  <c r="BU103" i="8"/>
  <c r="BU113" i="8"/>
  <c r="BU111" i="8"/>
  <c r="BU110" i="8"/>
  <c r="BU109" i="8"/>
  <c r="BU108" i="8"/>
  <c r="BR110" i="8"/>
  <c r="BR106" i="8"/>
  <c r="BR109" i="8"/>
  <c r="BR104" i="8"/>
  <c r="BR108" i="8"/>
  <c r="BR107" i="8"/>
  <c r="BR111" i="8"/>
  <c r="BR105" i="8"/>
  <c r="BR103" i="8"/>
  <c r="B104" i="8"/>
  <c r="M81" i="1"/>
  <c r="BT112" i="8"/>
  <c r="BT108" i="8"/>
  <c r="BT111" i="8"/>
  <c r="BT110" i="8"/>
  <c r="BT109" i="8"/>
  <c r="BT107" i="8"/>
  <c r="BT104" i="8"/>
  <c r="BT106" i="8"/>
  <c r="BT105" i="8"/>
  <c r="BT103" i="8"/>
  <c r="BV109" i="8"/>
  <c r="BV108" i="8"/>
  <c r="BV105" i="8"/>
  <c r="BV104" i="8"/>
  <c r="BV107" i="8"/>
  <c r="BV106" i="8"/>
  <c r="BV103" i="8"/>
  <c r="BV110" i="8"/>
  <c r="BV111" i="8"/>
  <c r="A98" i="9" l="1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Y56" i="11"/>
  <c r="Y57" i="11"/>
  <c r="Y58" i="11"/>
  <c r="BP102" i="8"/>
  <c r="BM102" i="8"/>
  <c r="BL102" i="8"/>
  <c r="BK102" i="8"/>
  <c r="BJ102" i="8"/>
  <c r="BI102" i="8"/>
  <c r="BG102" i="8"/>
  <c r="BF102" i="8"/>
  <c r="BE102" i="8"/>
  <c r="BD102" i="8"/>
  <c r="BC102" i="8"/>
  <c r="BB102" i="8"/>
  <c r="BA102" i="8"/>
  <c r="AZ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I27" i="11" l="1"/>
  <c r="BM101" i="11"/>
  <c r="BL101" i="11"/>
  <c r="BK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M100" i="11"/>
  <c r="BL100" i="11"/>
  <c r="BK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M99" i="11"/>
  <c r="BL99" i="11"/>
  <c r="BK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M98" i="11"/>
  <c r="BL98" i="11"/>
  <c r="BK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M97" i="11"/>
  <c r="BL97" i="11"/>
  <c r="BK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M96" i="11"/>
  <c r="BL96" i="11"/>
  <c r="BK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M95" i="11"/>
  <c r="BL95" i="11"/>
  <c r="BK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M94" i="11"/>
  <c r="BL94" i="11"/>
  <c r="BK94" i="11"/>
  <c r="BJ95" i="11"/>
  <c r="BJ96" i="11" s="1"/>
  <c r="BJ97" i="11" s="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M93" i="11"/>
  <c r="BL93" i="11"/>
  <c r="BK93" i="11"/>
  <c r="BJ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M92" i="11"/>
  <c r="BL92" i="11"/>
  <c r="BK92" i="11"/>
  <c r="BJ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M91" i="11"/>
  <c r="BL91" i="11"/>
  <c r="BK91" i="11"/>
  <c r="BJ91" i="11"/>
  <c r="BI91" i="11"/>
  <c r="BI92" i="11" s="1"/>
  <c r="BI93" i="11" s="1"/>
  <c r="BI94" i="11" s="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M90" i="11"/>
  <c r="BL90" i="11"/>
  <c r="BK90" i="11"/>
  <c r="BJ90" i="11"/>
  <c r="BI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M89" i="11"/>
  <c r="BL89" i="11"/>
  <c r="BK89" i="11"/>
  <c r="BJ89" i="11"/>
  <c r="BI89" i="11"/>
  <c r="BH89" i="11"/>
  <c r="BH90" i="11" s="1"/>
  <c r="BH91" i="11" s="1"/>
  <c r="BH92" i="11" s="1"/>
  <c r="BH93" i="11" s="1"/>
  <c r="BH94" i="11" s="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M88" i="11"/>
  <c r="BL88" i="11"/>
  <c r="BK88" i="11"/>
  <c r="BJ88" i="11"/>
  <c r="BI88" i="11"/>
  <c r="BH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M87" i="11"/>
  <c r="BL87" i="11"/>
  <c r="BK87" i="11"/>
  <c r="BJ87" i="11"/>
  <c r="BI87" i="11"/>
  <c r="BH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M86" i="11"/>
  <c r="BL86" i="11"/>
  <c r="BK86" i="11"/>
  <c r="BJ86" i="11"/>
  <c r="BI86" i="11"/>
  <c r="BH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M85" i="11"/>
  <c r="BL85" i="11"/>
  <c r="BK85" i="11"/>
  <c r="BJ85" i="11"/>
  <c r="BI85" i="11"/>
  <c r="BH85" i="11"/>
  <c r="BG85" i="11"/>
  <c r="BF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M84" i="11"/>
  <c r="BL84" i="11"/>
  <c r="BK84" i="11"/>
  <c r="BJ84" i="11"/>
  <c r="BI84" i="11"/>
  <c r="BH84" i="11"/>
  <c r="BG84" i="11"/>
  <c r="BF84" i="11"/>
  <c r="BE84" i="11"/>
  <c r="BE85" i="11" s="1"/>
  <c r="BE86" i="11" s="1"/>
  <c r="BE87" i="11" s="1"/>
  <c r="BE88" i="11" s="1"/>
  <c r="BE89" i="11" s="1"/>
  <c r="BE90" i="11" s="1"/>
  <c r="BE91" i="11" s="1"/>
  <c r="BE92" i="11" s="1"/>
  <c r="BE93" i="11" s="1"/>
  <c r="BE94" i="11" s="1"/>
  <c r="BE95" i="11" s="1"/>
  <c r="BE96" i="11" s="1"/>
  <c r="BE97" i="11" s="1"/>
  <c r="BE98" i="11" s="1"/>
  <c r="BE99" i="11" s="1"/>
  <c r="BE100" i="11" s="1"/>
  <c r="BE101" i="11" s="1"/>
  <c r="BE102" i="11" s="1"/>
  <c r="BE103" i="11" s="1"/>
  <c r="BE104" i="11" s="1"/>
  <c r="BE105" i="11" s="1"/>
  <c r="BE106" i="11" s="1"/>
  <c r="BE107" i="11" s="1"/>
  <c r="BE108" i="11" s="1"/>
  <c r="BE109" i="11" s="1"/>
  <c r="BE110" i="11" s="1"/>
  <c r="BE111" i="11" s="1"/>
  <c r="BE112" i="11" s="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M83" i="11"/>
  <c r="BL83" i="11"/>
  <c r="BK83" i="11"/>
  <c r="BJ83" i="11"/>
  <c r="BI83" i="11"/>
  <c r="BH83" i="11"/>
  <c r="BG83" i="11"/>
  <c r="BF83" i="11"/>
  <c r="BE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M82" i="11"/>
  <c r="BL82" i="11"/>
  <c r="BK82" i="11"/>
  <c r="BJ82" i="11"/>
  <c r="BI82" i="11"/>
  <c r="BH82" i="11"/>
  <c r="BG82" i="11"/>
  <c r="BF82" i="11"/>
  <c r="BE82" i="11"/>
  <c r="BD82" i="11"/>
  <c r="BD83" i="11" s="1"/>
  <c r="BD84" i="11" s="1"/>
  <c r="BD85" i="11" s="1"/>
  <c r="BD86" i="11" s="1"/>
  <c r="BD87" i="11" s="1"/>
  <c r="BD88" i="11" s="1"/>
  <c r="BD89" i="11" s="1"/>
  <c r="BD90" i="11" s="1"/>
  <c r="BD91" i="11" s="1"/>
  <c r="BD92" i="11" s="1"/>
  <c r="BD93" i="11" s="1"/>
  <c r="BD94" i="11" s="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M81" i="11"/>
  <c r="BL81" i="11"/>
  <c r="BK81" i="11"/>
  <c r="BJ81" i="11"/>
  <c r="BI81" i="11"/>
  <c r="BH81" i="11"/>
  <c r="BG81" i="11"/>
  <c r="BF81" i="11"/>
  <c r="BE81" i="11"/>
  <c r="BD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M80" i="11"/>
  <c r="BL80" i="11"/>
  <c r="BK80" i="11"/>
  <c r="BJ80" i="11"/>
  <c r="BI80" i="11"/>
  <c r="BH80" i="11"/>
  <c r="BG80" i="11"/>
  <c r="BF80" i="11"/>
  <c r="BE80" i="11"/>
  <c r="BD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M79" i="11"/>
  <c r="BL79" i="11"/>
  <c r="BK79" i="11"/>
  <c r="BJ79" i="11"/>
  <c r="BI79" i="11"/>
  <c r="BH79" i="11"/>
  <c r="BG79" i="11"/>
  <c r="BF79" i="11"/>
  <c r="BE79" i="11"/>
  <c r="BD79" i="11"/>
  <c r="BC79" i="11"/>
  <c r="BC80" i="11" s="1"/>
  <c r="BC81" i="11" s="1"/>
  <c r="BC82" i="11" s="1"/>
  <c r="BC83" i="11" s="1"/>
  <c r="BC84" i="11" s="1"/>
  <c r="BC85" i="11" s="1"/>
  <c r="BC86" i="11" s="1"/>
  <c r="BC87" i="11" s="1"/>
  <c r="BC88" i="11" s="1"/>
  <c r="BC89" i="11" s="1"/>
  <c r="BC90" i="11" s="1"/>
  <c r="BC91" i="11" s="1"/>
  <c r="BC92" i="11" s="1"/>
  <c r="BC93" i="11" s="1"/>
  <c r="BC94" i="11" s="1"/>
  <c r="BC95" i="11" s="1"/>
  <c r="BC96" i="11" s="1"/>
  <c r="BC97" i="11" s="1"/>
  <c r="BC98" i="11" s="1"/>
  <c r="BC99" i="11" s="1"/>
  <c r="BC100" i="11" s="1"/>
  <c r="BC101" i="11" s="1"/>
  <c r="BC102" i="11" s="1"/>
  <c r="BC103" i="11" s="1"/>
  <c r="BC104" i="11" s="1"/>
  <c r="BC105" i="11" s="1"/>
  <c r="BC106" i="11" s="1"/>
  <c r="BC107" i="11" s="1"/>
  <c r="BC108" i="11" s="1"/>
  <c r="BC109" i="11" s="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M78" i="11"/>
  <c r="BL78" i="11"/>
  <c r="BK78" i="11"/>
  <c r="BJ78" i="11"/>
  <c r="BI78" i="11"/>
  <c r="BH78" i="11"/>
  <c r="BG78" i="11"/>
  <c r="BF78" i="11"/>
  <c r="BE78" i="11"/>
  <c r="BD78" i="11"/>
  <c r="BC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M77" i="11"/>
  <c r="BL77" i="11"/>
  <c r="BK77" i="11"/>
  <c r="BJ77" i="11"/>
  <c r="BI77" i="11"/>
  <c r="BH77" i="11"/>
  <c r="BG77" i="11"/>
  <c r="BF77" i="11"/>
  <c r="BE77" i="11"/>
  <c r="BD77" i="11"/>
  <c r="BC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M76" i="11"/>
  <c r="BL76" i="11"/>
  <c r="BK76" i="11"/>
  <c r="BJ76" i="11"/>
  <c r="BI76" i="11"/>
  <c r="BH76" i="11"/>
  <c r="BG76" i="11"/>
  <c r="BF76" i="11"/>
  <c r="BE76" i="11"/>
  <c r="BD76" i="11"/>
  <c r="BC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M75" i="11"/>
  <c r="BL75" i="11"/>
  <c r="BK75" i="11"/>
  <c r="BJ75" i="11"/>
  <c r="BI75" i="11"/>
  <c r="BH75" i="11"/>
  <c r="BG75" i="11"/>
  <c r="BF75" i="11"/>
  <c r="BE75" i="11"/>
  <c r="BD75" i="11"/>
  <c r="BC75" i="11"/>
  <c r="BB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M74" i="11"/>
  <c r="BL74" i="11"/>
  <c r="BK74" i="11"/>
  <c r="BJ74" i="11"/>
  <c r="BI74" i="11"/>
  <c r="BH74" i="11"/>
  <c r="BG74" i="11"/>
  <c r="BF74" i="11"/>
  <c r="BE74" i="11"/>
  <c r="BD74" i="11"/>
  <c r="BC74" i="11"/>
  <c r="BB74" i="11"/>
  <c r="BA74" i="11"/>
  <c r="BA75" i="11" s="1"/>
  <c r="BA76" i="11" s="1"/>
  <c r="BA77" i="11" s="1"/>
  <c r="BA78" i="11" s="1"/>
  <c r="BA79" i="11" s="1"/>
  <c r="BA80" i="11" s="1"/>
  <c r="BA81" i="11" s="1"/>
  <c r="BA82" i="11" s="1"/>
  <c r="AZ74" i="11"/>
  <c r="AZ75" i="11" s="1"/>
  <c r="AZ76" i="11" s="1"/>
  <c r="AZ77" i="11" s="1"/>
  <c r="AZ78" i="11" s="1"/>
  <c r="AZ79" i="11" s="1"/>
  <c r="AZ80" i="11" s="1"/>
  <c r="AZ81" i="11" s="1"/>
  <c r="AZ82" i="11" s="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M73" i="11"/>
  <c r="BL73" i="11"/>
  <c r="BK73" i="11"/>
  <c r="BJ73" i="11"/>
  <c r="BI73" i="11"/>
  <c r="BH73" i="11"/>
  <c r="BG73" i="11"/>
  <c r="BF73" i="11"/>
  <c r="BE73" i="11"/>
  <c r="BD73" i="11"/>
  <c r="BC73" i="11"/>
  <c r="BB73" i="11"/>
  <c r="BA73" i="11"/>
  <c r="AZ73" i="11"/>
  <c r="AY73" i="11"/>
  <c r="AY74" i="11" s="1"/>
  <c r="AY75" i="11" s="1"/>
  <c r="AX73" i="11"/>
  <c r="AX74" i="11" s="1"/>
  <c r="AX75" i="11" s="1"/>
  <c r="AX76" i="11" s="1"/>
  <c r="AX77" i="11" s="1"/>
  <c r="AX78" i="11" s="1"/>
  <c r="AW73" i="11"/>
  <c r="AW74" i="11" s="1"/>
  <c r="AW75" i="11" s="1"/>
  <c r="AW76" i="11" s="1"/>
  <c r="AW77" i="11" s="1"/>
  <c r="AW78" i="11" s="1"/>
  <c r="AW79" i="11" s="1"/>
  <c r="AW80" i="11" s="1"/>
  <c r="AW81" i="11" s="1"/>
  <c r="AW82" i="11" s="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M72" i="11"/>
  <c r="BL72" i="11"/>
  <c r="BK72" i="11"/>
  <c r="BJ72" i="11"/>
  <c r="BI72" i="11"/>
  <c r="BH72" i="11"/>
  <c r="BG72" i="11"/>
  <c r="BF72" i="11"/>
  <c r="BE72" i="11"/>
  <c r="BD72" i="11"/>
  <c r="BC72" i="11"/>
  <c r="BB72" i="11"/>
  <c r="BA72" i="11"/>
  <c r="AZ72" i="11"/>
  <c r="AY72" i="11"/>
  <c r="AX72" i="11"/>
  <c r="AW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M71" i="11"/>
  <c r="BL71" i="11"/>
  <c r="BK71" i="11"/>
  <c r="BJ71" i="11"/>
  <c r="BI71" i="11"/>
  <c r="BH71" i="11"/>
  <c r="BG71" i="11"/>
  <c r="BF71" i="11"/>
  <c r="BE71" i="11"/>
  <c r="BD71" i="11"/>
  <c r="BC71" i="11"/>
  <c r="BB71" i="11"/>
  <c r="BA71" i="11"/>
  <c r="AZ71" i="11"/>
  <c r="AY71" i="11"/>
  <c r="AX71" i="11"/>
  <c r="AW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M70" i="11"/>
  <c r="BL70" i="11"/>
  <c r="BK70" i="11"/>
  <c r="BJ70" i="11"/>
  <c r="BI70" i="11"/>
  <c r="BH70" i="11"/>
  <c r="BG70" i="11"/>
  <c r="BF70" i="11"/>
  <c r="BE70" i="11"/>
  <c r="BD70" i="11"/>
  <c r="BC70" i="11"/>
  <c r="BB70" i="11"/>
  <c r="BA70" i="11"/>
  <c r="AZ70" i="11"/>
  <c r="AY70" i="11"/>
  <c r="AX70" i="11"/>
  <c r="AW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M69" i="11"/>
  <c r="BL69" i="11"/>
  <c r="BK69" i="11"/>
  <c r="BJ69" i="11"/>
  <c r="BI69" i="11"/>
  <c r="BH69" i="11"/>
  <c r="BG69" i="11"/>
  <c r="BF69" i="11"/>
  <c r="BE69" i="11"/>
  <c r="BD69" i="11"/>
  <c r="BC69" i="11"/>
  <c r="BB69" i="11"/>
  <c r="BA69" i="11"/>
  <c r="AZ69" i="11"/>
  <c r="AY69" i="11"/>
  <c r="AX69" i="11"/>
  <c r="AW69" i="11"/>
  <c r="AU69" i="11"/>
  <c r="AU70" i="11" s="1"/>
  <c r="AU71" i="11" s="1"/>
  <c r="AU72" i="11" s="1"/>
  <c r="AU73" i="11" s="1"/>
  <c r="AU74" i="11" s="1"/>
  <c r="AU75" i="11" s="1"/>
  <c r="AU76" i="11" s="1"/>
  <c r="AU77" i="11" s="1"/>
  <c r="AU78" i="11" s="1"/>
  <c r="AU79" i="11" s="1"/>
  <c r="AU80" i="11" s="1"/>
  <c r="AU81" i="11" s="1"/>
  <c r="AU82" i="11" s="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M68" i="11"/>
  <c r="BL68" i="11"/>
  <c r="BK68" i="11"/>
  <c r="BJ68" i="11"/>
  <c r="BI68" i="11"/>
  <c r="BH68" i="11"/>
  <c r="BG68" i="11"/>
  <c r="BF68" i="11"/>
  <c r="BE68" i="11"/>
  <c r="BD68" i="11"/>
  <c r="BC68" i="11"/>
  <c r="BB68" i="11"/>
  <c r="BA68" i="11"/>
  <c r="AZ68" i="11"/>
  <c r="AY68" i="11"/>
  <c r="AX68" i="11"/>
  <c r="AW68" i="11"/>
  <c r="AU68" i="11"/>
  <c r="AT68" i="11"/>
  <c r="AT69" i="11" s="1"/>
  <c r="AT70" i="11" s="1"/>
  <c r="AT71" i="11" s="1"/>
  <c r="AT72" i="11" s="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M67" i="11"/>
  <c r="BL67" i="11"/>
  <c r="BK67" i="11"/>
  <c r="BJ67" i="11"/>
  <c r="BI67" i="11"/>
  <c r="BH67" i="11"/>
  <c r="BG67" i="11"/>
  <c r="BF67" i="11"/>
  <c r="BE67" i="11"/>
  <c r="BD67" i="11"/>
  <c r="BC67" i="11"/>
  <c r="BB67" i="11"/>
  <c r="BA67" i="11"/>
  <c r="AZ67" i="11"/>
  <c r="AY67" i="11"/>
  <c r="AX67" i="11"/>
  <c r="AW67" i="11"/>
  <c r="AU67" i="11"/>
  <c r="AT67" i="11"/>
  <c r="AS67" i="11"/>
  <c r="AS68" i="11" s="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M66" i="11"/>
  <c r="BL66" i="11"/>
  <c r="BK66" i="11"/>
  <c r="BJ66" i="11"/>
  <c r="BI66" i="11"/>
  <c r="BH66" i="11"/>
  <c r="BG66" i="11"/>
  <c r="BF66" i="11"/>
  <c r="BE66" i="11"/>
  <c r="BD66" i="11"/>
  <c r="BC66" i="11"/>
  <c r="BB66" i="11"/>
  <c r="BA66" i="11"/>
  <c r="AZ66" i="11"/>
  <c r="AY66" i="11"/>
  <c r="AX66" i="11"/>
  <c r="AW66" i="11"/>
  <c r="AU66" i="11"/>
  <c r="AT66" i="11"/>
  <c r="AS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M65" i="11"/>
  <c r="BL65" i="11"/>
  <c r="BK65" i="11"/>
  <c r="BJ65" i="11"/>
  <c r="BI65" i="11"/>
  <c r="BH65" i="11"/>
  <c r="BG65" i="11"/>
  <c r="BF65" i="11"/>
  <c r="BE65" i="11"/>
  <c r="BD65" i="11"/>
  <c r="BC65" i="11"/>
  <c r="BB65" i="11"/>
  <c r="BA65" i="11"/>
  <c r="AZ65" i="11"/>
  <c r="AY65" i="11"/>
  <c r="AX65" i="11"/>
  <c r="AW65" i="11"/>
  <c r="AU65" i="11"/>
  <c r="AT65" i="11"/>
  <c r="AS65" i="11"/>
  <c r="AR65" i="11"/>
  <c r="AQ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M64" i="11"/>
  <c r="BL64" i="11"/>
  <c r="BK64" i="11"/>
  <c r="BJ64" i="11"/>
  <c r="BI64" i="11"/>
  <c r="BH64" i="11"/>
  <c r="BG64" i="11"/>
  <c r="BF64" i="11"/>
  <c r="BE64" i="11"/>
  <c r="BD64" i="11"/>
  <c r="BC64" i="11"/>
  <c r="BB64" i="11"/>
  <c r="BA64" i="11"/>
  <c r="AZ64" i="11"/>
  <c r="AY64" i="11"/>
  <c r="AX64" i="11"/>
  <c r="AW64" i="11"/>
  <c r="AU64" i="11"/>
  <c r="AT64" i="11"/>
  <c r="AS64" i="11"/>
  <c r="AR64" i="11"/>
  <c r="AQ64" i="11"/>
  <c r="AP64" i="11"/>
  <c r="AP65" i="11" s="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L63" i="11"/>
  <c r="BK63" i="11"/>
  <c r="BJ63" i="11"/>
  <c r="BI63" i="11"/>
  <c r="BH63" i="11"/>
  <c r="BG63" i="11"/>
  <c r="BF63" i="11"/>
  <c r="BE63" i="11"/>
  <c r="BD63" i="11"/>
  <c r="BC63" i="11"/>
  <c r="BB63" i="11"/>
  <c r="BA63" i="11"/>
  <c r="AZ63" i="11"/>
  <c r="AY63" i="11"/>
  <c r="AX63" i="11"/>
  <c r="AW63" i="11"/>
  <c r="AU63" i="11"/>
  <c r="AT63" i="11"/>
  <c r="AS63" i="11"/>
  <c r="AR63" i="11"/>
  <c r="AQ63" i="11"/>
  <c r="AP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L62" i="11"/>
  <c r="BK62" i="11"/>
  <c r="BJ62" i="11"/>
  <c r="BI62" i="11"/>
  <c r="BH62" i="11"/>
  <c r="BG62" i="11"/>
  <c r="BF62" i="11"/>
  <c r="BE62" i="11"/>
  <c r="BD62" i="11"/>
  <c r="BC62" i="11"/>
  <c r="BB62" i="11"/>
  <c r="BA62" i="11"/>
  <c r="AZ62" i="11"/>
  <c r="AY62" i="11"/>
  <c r="AX62" i="11"/>
  <c r="AW62" i="11"/>
  <c r="AU62" i="11"/>
  <c r="AT62" i="11"/>
  <c r="AS62" i="11"/>
  <c r="AR62" i="11"/>
  <c r="AQ62" i="11"/>
  <c r="AP62" i="11"/>
  <c r="AO62" i="11"/>
  <c r="AO63" i="11" s="1"/>
  <c r="AO64" i="11" s="1"/>
  <c r="AO65" i="11" s="1"/>
  <c r="AO66" i="11" s="1"/>
  <c r="AO67" i="11" s="1"/>
  <c r="AO68" i="11" s="1"/>
  <c r="AO69" i="11" s="1"/>
  <c r="AO70" i="11" s="1"/>
  <c r="AO71" i="11" s="1"/>
  <c r="AO72" i="11" s="1"/>
  <c r="AO73" i="11" s="1"/>
  <c r="AO74" i="11" s="1"/>
  <c r="AO75" i="11" s="1"/>
  <c r="AO76" i="11" s="1"/>
  <c r="AO77" i="11" s="1"/>
  <c r="AO78" i="11" s="1"/>
  <c r="AO79" i="11" s="1"/>
  <c r="AO80" i="11" s="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L61" i="11"/>
  <c r="BK61" i="11"/>
  <c r="BJ61" i="11"/>
  <c r="BI61" i="11"/>
  <c r="BH61" i="11"/>
  <c r="BG61" i="11"/>
  <c r="BF61" i="11"/>
  <c r="BE61" i="11"/>
  <c r="BD61" i="11"/>
  <c r="BC61" i="11"/>
  <c r="BB61" i="11"/>
  <c r="BA61" i="11"/>
  <c r="AZ61" i="11"/>
  <c r="AY61" i="11"/>
  <c r="AX61" i="11"/>
  <c r="AW61" i="11"/>
  <c r="AU61" i="11"/>
  <c r="AT61" i="11"/>
  <c r="AS61" i="11"/>
  <c r="AR61" i="11"/>
  <c r="AQ61" i="11"/>
  <c r="AP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L60" i="11"/>
  <c r="BK60" i="11"/>
  <c r="BJ60" i="11"/>
  <c r="BI60" i="11"/>
  <c r="BH60" i="11"/>
  <c r="BG60" i="11"/>
  <c r="BF60" i="11"/>
  <c r="BE60" i="11"/>
  <c r="BD60" i="11"/>
  <c r="BC60" i="11"/>
  <c r="BB60" i="11"/>
  <c r="BA60" i="11"/>
  <c r="AZ60" i="11"/>
  <c r="AY60" i="11"/>
  <c r="AX60" i="11"/>
  <c r="AW60" i="11"/>
  <c r="AU60" i="11"/>
  <c r="AT60" i="11"/>
  <c r="AS60" i="11"/>
  <c r="AR60" i="11"/>
  <c r="AQ60" i="11"/>
  <c r="AP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L59" i="11"/>
  <c r="BK59" i="11"/>
  <c r="BJ59" i="11"/>
  <c r="BI59" i="11"/>
  <c r="BH59" i="11"/>
  <c r="BG59" i="11"/>
  <c r="BF59" i="11"/>
  <c r="BE59" i="11"/>
  <c r="BD59" i="11"/>
  <c r="BC59" i="11"/>
  <c r="BB59" i="11"/>
  <c r="BA59" i="11"/>
  <c r="AZ59" i="11"/>
  <c r="AY59" i="11"/>
  <c r="AX59" i="11"/>
  <c r="AW59" i="11"/>
  <c r="AU59" i="11"/>
  <c r="AT59" i="11"/>
  <c r="AS59" i="11"/>
  <c r="AR59" i="11"/>
  <c r="AQ59" i="11"/>
  <c r="AP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L58" i="11"/>
  <c r="BK58" i="11"/>
  <c r="BJ58" i="11"/>
  <c r="BI58" i="11"/>
  <c r="BH58" i="11"/>
  <c r="BG58" i="11"/>
  <c r="BF58" i="11"/>
  <c r="BE58" i="11"/>
  <c r="BD58" i="11"/>
  <c r="BC58" i="11"/>
  <c r="BB58" i="11"/>
  <c r="BA58" i="11"/>
  <c r="AZ58" i="11"/>
  <c r="AY58" i="11"/>
  <c r="AX58" i="11"/>
  <c r="AW58" i="11"/>
  <c r="AU58" i="11"/>
  <c r="AT58" i="11"/>
  <c r="AS58" i="11"/>
  <c r="AR58" i="11"/>
  <c r="AQ58" i="11"/>
  <c r="AP58" i="11"/>
  <c r="AN58" i="11"/>
  <c r="AN59" i="11" s="1"/>
  <c r="AN60" i="11" s="1"/>
  <c r="AN61" i="11" s="1"/>
  <c r="AN62" i="11" s="1"/>
  <c r="AN63" i="11" s="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L57" i="11"/>
  <c r="BK57" i="11"/>
  <c r="BJ57" i="11"/>
  <c r="BI57" i="11"/>
  <c r="BH57" i="11"/>
  <c r="BG57" i="11"/>
  <c r="BF57" i="11"/>
  <c r="BE57" i="11"/>
  <c r="BD57" i="11"/>
  <c r="BC57" i="11"/>
  <c r="BB57" i="11"/>
  <c r="BA57" i="11"/>
  <c r="AZ57" i="11"/>
  <c r="AY57" i="11"/>
  <c r="AX57" i="11"/>
  <c r="AW57" i="11"/>
  <c r="AU57" i="11"/>
  <c r="AT57" i="11"/>
  <c r="AS57" i="11"/>
  <c r="AR57" i="11"/>
  <c r="AQ57" i="11"/>
  <c r="AP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L56" i="11"/>
  <c r="BK56" i="11"/>
  <c r="BJ56" i="11"/>
  <c r="BI56" i="11"/>
  <c r="BH56" i="11"/>
  <c r="BG56" i="11"/>
  <c r="BF56" i="11"/>
  <c r="BE56" i="11"/>
  <c r="BD56" i="11"/>
  <c r="BC56" i="11"/>
  <c r="BB56" i="11"/>
  <c r="BA56" i="11"/>
  <c r="AZ56" i="11"/>
  <c r="AY56" i="11"/>
  <c r="AX56" i="11"/>
  <c r="AW56" i="11"/>
  <c r="AU56" i="11"/>
  <c r="AT56" i="11"/>
  <c r="AS56" i="11"/>
  <c r="AR56" i="11"/>
  <c r="AQ56" i="11"/>
  <c r="AP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L55" i="11"/>
  <c r="BK55" i="11"/>
  <c r="BJ55" i="11"/>
  <c r="BI55" i="11"/>
  <c r="BH55" i="11"/>
  <c r="BG55" i="11"/>
  <c r="BF55" i="11"/>
  <c r="BE55" i="11"/>
  <c r="BD55" i="11"/>
  <c r="BC55" i="11"/>
  <c r="BB55" i="11"/>
  <c r="BA55" i="11"/>
  <c r="AZ55" i="11"/>
  <c r="AY55" i="11"/>
  <c r="AX55" i="11"/>
  <c r="AW55" i="11"/>
  <c r="AU55" i="11"/>
  <c r="AT55" i="11"/>
  <c r="AS55" i="11"/>
  <c r="AR55" i="11"/>
  <c r="AQ55" i="11"/>
  <c r="AP55" i="11"/>
  <c r="Y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L54" i="11"/>
  <c r="BK54" i="11"/>
  <c r="BJ54" i="11"/>
  <c r="BI54" i="11"/>
  <c r="BH54" i="11"/>
  <c r="BG54" i="11"/>
  <c r="BF54" i="11"/>
  <c r="BE54" i="11"/>
  <c r="BD54" i="11"/>
  <c r="BC54" i="11"/>
  <c r="BB54" i="11"/>
  <c r="BA54" i="11"/>
  <c r="AZ54" i="11"/>
  <c r="AY54" i="11"/>
  <c r="AX54" i="11"/>
  <c r="AW54" i="11"/>
  <c r="AU54" i="11"/>
  <c r="AT54" i="11"/>
  <c r="AS54" i="11"/>
  <c r="AR54" i="11"/>
  <c r="AQ54" i="11"/>
  <c r="AP54" i="11"/>
  <c r="Y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L53" i="11"/>
  <c r="BK53" i="11"/>
  <c r="BJ53" i="11"/>
  <c r="BI53" i="11"/>
  <c r="BH53" i="11"/>
  <c r="BG53" i="11"/>
  <c r="BF53" i="11"/>
  <c r="BE53" i="11"/>
  <c r="BD53" i="11"/>
  <c r="BC53" i="11"/>
  <c r="BB53" i="11"/>
  <c r="BA53" i="11"/>
  <c r="AZ53" i="11"/>
  <c r="AY53" i="11"/>
  <c r="AX53" i="11"/>
  <c r="AW53" i="11"/>
  <c r="AU53" i="11"/>
  <c r="AT53" i="11"/>
  <c r="AS53" i="11"/>
  <c r="AR53" i="11"/>
  <c r="AQ53" i="11"/>
  <c r="AP53" i="11"/>
  <c r="AM53" i="11"/>
  <c r="AM54" i="11" s="1"/>
  <c r="AM55" i="11" s="1"/>
  <c r="AM56" i="11" s="1"/>
  <c r="AM57" i="11" s="1"/>
  <c r="AM58" i="11" s="1"/>
  <c r="AM59" i="11" s="1"/>
  <c r="AM60" i="11" s="1"/>
  <c r="AM61" i="11" s="1"/>
  <c r="AM62" i="11" s="1"/>
  <c r="AM63" i="11" s="1"/>
  <c r="AM64" i="11" s="1"/>
  <c r="AL53" i="11"/>
  <c r="AL54" i="11" s="1"/>
  <c r="AL55" i="11" s="1"/>
  <c r="AL56" i="11" s="1"/>
  <c r="AL57" i="11" s="1"/>
  <c r="AL58" i="11" s="1"/>
  <c r="AL59" i="11" s="1"/>
  <c r="AL60" i="11" s="1"/>
  <c r="AL61" i="11" s="1"/>
  <c r="AL62" i="11" s="1"/>
  <c r="AL63" i="11" s="1"/>
  <c r="Y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L52" i="11"/>
  <c r="BK52" i="11"/>
  <c r="BJ52" i="11"/>
  <c r="BI52" i="11"/>
  <c r="BH52" i="11"/>
  <c r="BG52" i="11"/>
  <c r="BF52" i="11"/>
  <c r="BE52" i="11"/>
  <c r="BD52" i="11"/>
  <c r="BC52" i="11"/>
  <c r="BB52" i="11"/>
  <c r="BA52" i="11"/>
  <c r="AZ52" i="11"/>
  <c r="AY52" i="11"/>
  <c r="AX52" i="11"/>
  <c r="AW52" i="11"/>
  <c r="AU52" i="11"/>
  <c r="AT52" i="11"/>
  <c r="AS52" i="11"/>
  <c r="AR52" i="11"/>
  <c r="AQ52" i="11"/>
  <c r="AP52" i="11"/>
  <c r="AM52" i="11"/>
  <c r="AL52" i="11"/>
  <c r="AK52" i="11"/>
  <c r="AK53" i="11" s="1"/>
  <c r="AK54" i="11" s="1"/>
  <c r="AK55" i="11" s="1"/>
  <c r="AK56" i="11" s="1"/>
  <c r="AK57" i="11" s="1"/>
  <c r="AK58" i="11" s="1"/>
  <c r="AK59" i="11" s="1"/>
  <c r="AK60" i="11" s="1"/>
  <c r="AK61" i="11" s="1"/>
  <c r="AK62" i="11" s="1"/>
  <c r="AK63" i="11" s="1"/>
  <c r="Z52" i="11"/>
  <c r="Z53" i="11" s="1"/>
  <c r="Z54" i="11" s="1"/>
  <c r="Z55" i="11" s="1"/>
  <c r="Z56" i="11" s="1"/>
  <c r="Z57" i="11" s="1"/>
  <c r="Z58" i="11" s="1"/>
  <c r="Z59" i="11" s="1"/>
  <c r="Z60" i="11" s="1"/>
  <c r="Y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L51" i="11"/>
  <c r="BK51" i="11"/>
  <c r="BJ51" i="11"/>
  <c r="BI51" i="11"/>
  <c r="BH51" i="11"/>
  <c r="BG51" i="11"/>
  <c r="BF51" i="11"/>
  <c r="BE51" i="11"/>
  <c r="BD51" i="11"/>
  <c r="BC51" i="11"/>
  <c r="BB51" i="11"/>
  <c r="BA51" i="11"/>
  <c r="AZ51" i="11"/>
  <c r="AY51" i="11"/>
  <c r="AX51" i="11"/>
  <c r="AW51" i="11"/>
  <c r="AU51" i="11"/>
  <c r="AT51" i="11"/>
  <c r="AS51" i="11"/>
  <c r="AR51" i="11"/>
  <c r="AQ51" i="11"/>
  <c r="AP51" i="11"/>
  <c r="AM51" i="11"/>
  <c r="AL51" i="11"/>
  <c r="AK51" i="11"/>
  <c r="Z51" i="11"/>
  <c r="Y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L50" i="11"/>
  <c r="BK50" i="11"/>
  <c r="BJ50" i="11"/>
  <c r="BI50" i="11"/>
  <c r="BH50" i="11"/>
  <c r="BG50" i="11"/>
  <c r="BF50" i="11"/>
  <c r="BE50" i="11"/>
  <c r="BD50" i="11"/>
  <c r="BC50" i="11"/>
  <c r="BB50" i="11"/>
  <c r="BA50" i="11"/>
  <c r="AZ50" i="11"/>
  <c r="AY50" i="11"/>
  <c r="AX50" i="11"/>
  <c r="AW50" i="11"/>
  <c r="AU50" i="11"/>
  <c r="AT50" i="11"/>
  <c r="AS50" i="11"/>
  <c r="AR50" i="11"/>
  <c r="AQ50" i="11"/>
  <c r="AP50" i="11"/>
  <c r="AM50" i="11"/>
  <c r="AL50" i="11"/>
  <c r="AK50" i="11"/>
  <c r="Z50" i="11"/>
  <c r="Y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L49" i="11"/>
  <c r="BK49" i="11"/>
  <c r="BJ49" i="11"/>
  <c r="BI49" i="11"/>
  <c r="BH49" i="11"/>
  <c r="BG49" i="11"/>
  <c r="BF49" i="11"/>
  <c r="BE49" i="11"/>
  <c r="BD49" i="11"/>
  <c r="BC49" i="11"/>
  <c r="BB49" i="11"/>
  <c r="BA49" i="11"/>
  <c r="AZ49" i="11"/>
  <c r="AY49" i="11"/>
  <c r="AX49" i="11"/>
  <c r="AW49" i="11"/>
  <c r="AU49" i="11"/>
  <c r="AT49" i="11"/>
  <c r="AS49" i="11"/>
  <c r="AR49" i="11"/>
  <c r="AQ49" i="11"/>
  <c r="AP49" i="11"/>
  <c r="AM49" i="11"/>
  <c r="AL49" i="11"/>
  <c r="AK49" i="11"/>
  <c r="Z49" i="11"/>
  <c r="Y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L48" i="11"/>
  <c r="BK48" i="11"/>
  <c r="BJ48" i="11"/>
  <c r="BI48" i="11"/>
  <c r="BH48" i="11"/>
  <c r="BG48" i="11"/>
  <c r="BF48" i="11"/>
  <c r="BE48" i="11"/>
  <c r="BD48" i="11"/>
  <c r="BC48" i="11"/>
  <c r="BB48" i="11"/>
  <c r="BA48" i="11"/>
  <c r="AZ48" i="11"/>
  <c r="AY48" i="11"/>
  <c r="AX48" i="11"/>
  <c r="AW48" i="11"/>
  <c r="AU48" i="11"/>
  <c r="AT48" i="11"/>
  <c r="AS48" i="11"/>
  <c r="AR48" i="11"/>
  <c r="AQ48" i="11"/>
  <c r="AP48" i="11"/>
  <c r="AM48" i="11"/>
  <c r="AL48" i="11"/>
  <c r="AK48" i="11"/>
  <c r="AI48" i="11"/>
  <c r="AI49" i="11" s="1"/>
  <c r="AI50" i="11" s="1"/>
  <c r="AI51" i="11" s="1"/>
  <c r="AI52" i="11" s="1"/>
  <c r="AI53" i="11" s="1"/>
  <c r="AI54" i="11" s="1"/>
  <c r="AI55" i="11" s="1"/>
  <c r="AI56" i="11" s="1"/>
  <c r="AI57" i="11" s="1"/>
  <c r="AI58" i="11" s="1"/>
  <c r="AI59" i="11" s="1"/>
  <c r="AI60" i="11" s="1"/>
  <c r="AI61" i="11" s="1"/>
  <c r="AI62" i="11" s="1"/>
  <c r="AI63" i="11" s="1"/>
  <c r="Z48" i="11"/>
  <c r="Y48" i="11"/>
  <c r="X48" i="11"/>
  <c r="X49" i="11" s="1"/>
  <c r="X50" i="11" s="1"/>
  <c r="X51" i="11" s="1"/>
  <c r="X52" i="11" s="1"/>
  <c r="X53" i="11" s="1"/>
  <c r="X54" i="11" s="1"/>
  <c r="X55" i="11" s="1"/>
  <c r="X56" i="11" s="1"/>
  <c r="X57" i="11" s="1"/>
  <c r="X58" i="11" s="1"/>
  <c r="U48" i="11"/>
  <c r="U49" i="11" s="1"/>
  <c r="U50" i="11" s="1"/>
  <c r="U51" i="11" s="1"/>
  <c r="U52" i="11" s="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L47" i="11"/>
  <c r="BK47" i="11"/>
  <c r="BJ47" i="11"/>
  <c r="BI47" i="11"/>
  <c r="BH47" i="11"/>
  <c r="BG47" i="11"/>
  <c r="BF47" i="11"/>
  <c r="BE47" i="11"/>
  <c r="BD47" i="11"/>
  <c r="BC47" i="11"/>
  <c r="BB47" i="11"/>
  <c r="BA47" i="11"/>
  <c r="AZ47" i="11"/>
  <c r="AY47" i="11"/>
  <c r="AX47" i="11"/>
  <c r="AW47" i="11"/>
  <c r="AU47" i="11"/>
  <c r="AT47" i="11"/>
  <c r="AS47" i="11"/>
  <c r="AR47" i="11"/>
  <c r="AQ47" i="11"/>
  <c r="AP47" i="11"/>
  <c r="AM47" i="11"/>
  <c r="AL47" i="11"/>
  <c r="AK47" i="11"/>
  <c r="AI47" i="11"/>
  <c r="Z47" i="11"/>
  <c r="Y47" i="11"/>
  <c r="X47" i="11"/>
  <c r="U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L46" i="11"/>
  <c r="BK46" i="11"/>
  <c r="BJ46" i="11"/>
  <c r="BI46" i="11"/>
  <c r="BH46" i="11"/>
  <c r="BG46" i="11"/>
  <c r="BF46" i="11"/>
  <c r="BE46" i="11"/>
  <c r="BD46" i="11"/>
  <c r="BC46" i="11"/>
  <c r="BB46" i="11"/>
  <c r="BA46" i="11"/>
  <c r="AZ46" i="11"/>
  <c r="AY46" i="11"/>
  <c r="AX46" i="11"/>
  <c r="AW46" i="11"/>
  <c r="AU46" i="11"/>
  <c r="AT46" i="11"/>
  <c r="AS46" i="11"/>
  <c r="AR46" i="11"/>
  <c r="AQ46" i="11"/>
  <c r="AP46" i="11"/>
  <c r="AM46" i="11"/>
  <c r="AL46" i="11"/>
  <c r="AK46" i="11"/>
  <c r="AI46" i="11"/>
  <c r="Z46" i="11"/>
  <c r="Y46" i="11"/>
  <c r="X46" i="11"/>
  <c r="W46" i="11"/>
  <c r="W47" i="11" s="1"/>
  <c r="W48" i="11" s="1"/>
  <c r="W49" i="11" s="1"/>
  <c r="W50" i="11" s="1"/>
  <c r="W51" i="11" s="1"/>
  <c r="W52" i="11" s="1"/>
  <c r="W53" i="11" s="1"/>
  <c r="W54" i="11" s="1"/>
  <c r="W55" i="11" s="1"/>
  <c r="W56" i="11" s="1"/>
  <c r="W57" i="11" s="1"/>
  <c r="U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L45" i="11"/>
  <c r="BK45" i="11"/>
  <c r="BJ45" i="11"/>
  <c r="BI45" i="11"/>
  <c r="BH45" i="11"/>
  <c r="BG45" i="11"/>
  <c r="BF45" i="11"/>
  <c r="BE45" i="11"/>
  <c r="BD45" i="11"/>
  <c r="BC45" i="11"/>
  <c r="BB45" i="11"/>
  <c r="BA45" i="11"/>
  <c r="AZ45" i="11"/>
  <c r="AY45" i="11"/>
  <c r="AX45" i="11"/>
  <c r="AW45" i="11"/>
  <c r="AU45" i="11"/>
  <c r="AT45" i="11"/>
  <c r="AS45" i="11"/>
  <c r="AR45" i="11"/>
  <c r="AQ45" i="11"/>
  <c r="AP45" i="11"/>
  <c r="AM45" i="11"/>
  <c r="AL45" i="11"/>
  <c r="AK45" i="11"/>
  <c r="AJ45" i="11"/>
  <c r="AI45" i="11"/>
  <c r="AA45" i="11"/>
  <c r="Z45" i="11"/>
  <c r="Y45" i="11"/>
  <c r="X45" i="11"/>
  <c r="W45" i="11"/>
  <c r="U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L44" i="11"/>
  <c r="BK44" i="11"/>
  <c r="BJ44" i="11"/>
  <c r="BI44" i="11"/>
  <c r="BH44" i="11"/>
  <c r="BG44" i="11"/>
  <c r="BF44" i="11"/>
  <c r="BE44" i="11"/>
  <c r="BD44" i="11"/>
  <c r="BC44" i="11"/>
  <c r="BB44" i="11"/>
  <c r="BA44" i="11"/>
  <c r="AZ44" i="11"/>
  <c r="AY44" i="11"/>
  <c r="AX44" i="11"/>
  <c r="AW44" i="11"/>
  <c r="AU44" i="11"/>
  <c r="AT44" i="11"/>
  <c r="AS44" i="11"/>
  <c r="AR44" i="11"/>
  <c r="AQ44" i="11"/>
  <c r="AP44" i="11"/>
  <c r="AM44" i="11"/>
  <c r="AL44" i="11"/>
  <c r="AK44" i="11"/>
  <c r="AJ44" i="11"/>
  <c r="AI44" i="11"/>
  <c r="AH44" i="11"/>
  <c r="AH45" i="11" s="1"/>
  <c r="AH46" i="11" s="1"/>
  <c r="AH47" i="11" s="1"/>
  <c r="AH48" i="11" s="1"/>
  <c r="AH49" i="11" s="1"/>
  <c r="AH50" i="11" s="1"/>
  <c r="AH51" i="11" s="1"/>
  <c r="AH52" i="11" s="1"/>
  <c r="AH53" i="11" s="1"/>
  <c r="AH54" i="11" s="1"/>
  <c r="AH55" i="11" s="1"/>
  <c r="AH56" i="11" s="1"/>
  <c r="AH57" i="11" s="1"/>
  <c r="AH58" i="11" s="1"/>
  <c r="AH59" i="11" s="1"/>
  <c r="AH60" i="11" s="1"/>
  <c r="AH61" i="11" s="1"/>
  <c r="AH62" i="11" s="1"/>
  <c r="AH63" i="11" s="1"/>
  <c r="AA44" i="11"/>
  <c r="Z44" i="11"/>
  <c r="Y44" i="11"/>
  <c r="X44" i="11"/>
  <c r="W44" i="11"/>
  <c r="U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L43" i="11"/>
  <c r="BK43" i="11"/>
  <c r="BJ43" i="11"/>
  <c r="BI43" i="11"/>
  <c r="BH43" i="11"/>
  <c r="BG43" i="11"/>
  <c r="BF43" i="11"/>
  <c r="BE43" i="11"/>
  <c r="BD43" i="11"/>
  <c r="BC43" i="11"/>
  <c r="BB43" i="11"/>
  <c r="BA43" i="11"/>
  <c r="AZ43" i="11"/>
  <c r="AY43" i="11"/>
  <c r="AX43" i="11"/>
  <c r="AW43" i="11"/>
  <c r="AU43" i="11"/>
  <c r="AT43" i="11"/>
  <c r="AS43" i="11"/>
  <c r="AR43" i="11"/>
  <c r="AQ43" i="11"/>
  <c r="AP43" i="11"/>
  <c r="AM43" i="11"/>
  <c r="AL43" i="11"/>
  <c r="AK43" i="11"/>
  <c r="AJ43" i="11"/>
  <c r="AI43" i="11"/>
  <c r="AH43" i="11"/>
  <c r="AA43" i="11"/>
  <c r="Z43" i="11"/>
  <c r="Y43" i="11"/>
  <c r="X43" i="11"/>
  <c r="W43" i="11"/>
  <c r="U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L42" i="11"/>
  <c r="BK42" i="11"/>
  <c r="BJ42" i="11"/>
  <c r="BI42" i="11"/>
  <c r="BH42" i="11"/>
  <c r="BG42" i="11"/>
  <c r="BF42" i="11"/>
  <c r="BE42" i="11"/>
  <c r="BD42" i="11"/>
  <c r="BC42" i="11"/>
  <c r="BB42" i="11"/>
  <c r="BA42" i="11"/>
  <c r="AZ42" i="11"/>
  <c r="AY42" i="11"/>
  <c r="AX42" i="11"/>
  <c r="AW42" i="11"/>
  <c r="AU42" i="11"/>
  <c r="AT42" i="11"/>
  <c r="AS42" i="11"/>
  <c r="AR42" i="11"/>
  <c r="AQ42" i="11"/>
  <c r="AP42" i="11"/>
  <c r="AM42" i="11"/>
  <c r="AL42" i="11"/>
  <c r="AK42" i="11"/>
  <c r="AJ42" i="11"/>
  <c r="AI42" i="11"/>
  <c r="AH42" i="11"/>
  <c r="AA42" i="11"/>
  <c r="Z42" i="11"/>
  <c r="Y42" i="11"/>
  <c r="X42" i="11"/>
  <c r="W42" i="11"/>
  <c r="U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L41" i="11"/>
  <c r="BK41" i="11"/>
  <c r="BJ41" i="11"/>
  <c r="BI41" i="11"/>
  <c r="BH41" i="11"/>
  <c r="BG41" i="11"/>
  <c r="BF41" i="11"/>
  <c r="BE41" i="11"/>
  <c r="BD41" i="11"/>
  <c r="BC41" i="11"/>
  <c r="BB41" i="11"/>
  <c r="BA41" i="11"/>
  <c r="AZ41" i="11"/>
  <c r="AY41" i="11"/>
  <c r="AX41" i="11"/>
  <c r="AW41" i="11"/>
  <c r="AU41" i="11"/>
  <c r="AT41" i="11"/>
  <c r="AS41" i="11"/>
  <c r="AR41" i="11"/>
  <c r="AQ41" i="11"/>
  <c r="AP41" i="11"/>
  <c r="AM41" i="11"/>
  <c r="AL41" i="11"/>
  <c r="AK41" i="11"/>
  <c r="AJ41" i="11"/>
  <c r="AI41" i="11"/>
  <c r="AH41" i="11"/>
  <c r="AA41" i="11"/>
  <c r="Z41" i="11"/>
  <c r="Y41" i="11"/>
  <c r="X41" i="11"/>
  <c r="W41" i="11"/>
  <c r="U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L40" i="11"/>
  <c r="BK40" i="1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AW40" i="11"/>
  <c r="AU40" i="11"/>
  <c r="AT40" i="11"/>
  <c r="AS40" i="11"/>
  <c r="AR40" i="11"/>
  <c r="AQ40" i="11"/>
  <c r="AP40" i="11"/>
  <c r="AM40" i="11"/>
  <c r="AL40" i="11"/>
  <c r="AK40" i="11"/>
  <c r="AJ40" i="11"/>
  <c r="AI40" i="11"/>
  <c r="AH40" i="11"/>
  <c r="AA40" i="11"/>
  <c r="Z40" i="11"/>
  <c r="Y40" i="11"/>
  <c r="X40" i="11"/>
  <c r="W40" i="11"/>
  <c r="U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L39" i="11"/>
  <c r="BK39" i="11"/>
  <c r="BJ39" i="11"/>
  <c r="BI39" i="11"/>
  <c r="BH39" i="11"/>
  <c r="BG39" i="11"/>
  <c r="BF39" i="11"/>
  <c r="BE39" i="11"/>
  <c r="BD39" i="11"/>
  <c r="BC39" i="11"/>
  <c r="BB39" i="11"/>
  <c r="BA39" i="11"/>
  <c r="AZ39" i="11"/>
  <c r="AY39" i="11"/>
  <c r="AX39" i="11"/>
  <c r="AW39" i="11"/>
  <c r="AU39" i="11"/>
  <c r="AT39" i="11"/>
  <c r="AS39" i="11"/>
  <c r="AR39" i="11"/>
  <c r="AQ39" i="11"/>
  <c r="AP39" i="11"/>
  <c r="AM39" i="11"/>
  <c r="AL39" i="11"/>
  <c r="AK39" i="11"/>
  <c r="AJ39" i="11"/>
  <c r="AI39" i="11"/>
  <c r="AH39" i="11"/>
  <c r="AA39" i="11"/>
  <c r="Z39" i="11"/>
  <c r="Y39" i="11"/>
  <c r="X39" i="11"/>
  <c r="W39" i="11"/>
  <c r="U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L38" i="11"/>
  <c r="BK38" i="11"/>
  <c r="BJ38" i="11"/>
  <c r="BI38" i="11"/>
  <c r="BH38" i="11"/>
  <c r="BG38" i="11"/>
  <c r="BF38" i="11"/>
  <c r="BE38" i="11"/>
  <c r="BD38" i="11"/>
  <c r="BC38" i="11"/>
  <c r="BB38" i="11"/>
  <c r="BA38" i="11"/>
  <c r="AZ38" i="11"/>
  <c r="AY38" i="11"/>
  <c r="AX38" i="11"/>
  <c r="AW38" i="11"/>
  <c r="AU38" i="11"/>
  <c r="AT38" i="11"/>
  <c r="AS38" i="11"/>
  <c r="AR38" i="11"/>
  <c r="AQ38" i="11"/>
  <c r="AP38" i="11"/>
  <c r="AM38" i="11"/>
  <c r="AL38" i="11"/>
  <c r="AK38" i="11"/>
  <c r="AJ38" i="11"/>
  <c r="AI38" i="11"/>
  <c r="AH38" i="11"/>
  <c r="AA38" i="11"/>
  <c r="Z38" i="11"/>
  <c r="Y38" i="11"/>
  <c r="X38" i="11"/>
  <c r="W38" i="11"/>
  <c r="U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L37" i="11"/>
  <c r="BK37" i="11"/>
  <c r="BJ37" i="11"/>
  <c r="BI37" i="11"/>
  <c r="BH37" i="11"/>
  <c r="BG37" i="11"/>
  <c r="BF37" i="11"/>
  <c r="BE37" i="11"/>
  <c r="BD37" i="11"/>
  <c r="BC37" i="11"/>
  <c r="BB37" i="11"/>
  <c r="BA37" i="11"/>
  <c r="AZ37" i="11"/>
  <c r="AY37" i="11"/>
  <c r="AX37" i="11"/>
  <c r="AW37" i="11"/>
  <c r="AU37" i="11"/>
  <c r="AT37" i="11"/>
  <c r="AS37" i="11"/>
  <c r="AR37" i="11"/>
  <c r="AQ37" i="11"/>
  <c r="AP37" i="11"/>
  <c r="AM37" i="11"/>
  <c r="AL37" i="11"/>
  <c r="AK37" i="11"/>
  <c r="AJ37" i="11"/>
  <c r="AI37" i="11"/>
  <c r="AH37" i="11"/>
  <c r="AA37" i="11"/>
  <c r="Z37" i="11"/>
  <c r="Y37" i="11"/>
  <c r="X37" i="11"/>
  <c r="W37" i="11"/>
  <c r="U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L36" i="11"/>
  <c r="BK36" i="11"/>
  <c r="BJ36" i="11"/>
  <c r="BI36" i="11"/>
  <c r="BH36" i="11"/>
  <c r="BG36" i="11"/>
  <c r="BF36" i="11"/>
  <c r="BE36" i="11"/>
  <c r="BD36" i="11"/>
  <c r="BC36" i="11"/>
  <c r="BB36" i="11"/>
  <c r="BA36" i="11"/>
  <c r="AZ36" i="11"/>
  <c r="AY36" i="11"/>
  <c r="AX36" i="11"/>
  <c r="AW36" i="11"/>
  <c r="AU36" i="11"/>
  <c r="AT36" i="11"/>
  <c r="AS36" i="11"/>
  <c r="AR36" i="11"/>
  <c r="AQ36" i="11"/>
  <c r="AP36" i="11"/>
  <c r="AM36" i="11"/>
  <c r="AL36" i="11"/>
  <c r="AK36" i="11"/>
  <c r="AJ36" i="11"/>
  <c r="AI36" i="11"/>
  <c r="AH36" i="11"/>
  <c r="AA36" i="11"/>
  <c r="Z36" i="11"/>
  <c r="Y36" i="11"/>
  <c r="X36" i="11"/>
  <c r="W36" i="11"/>
  <c r="U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L35" i="11"/>
  <c r="BK35" i="11"/>
  <c r="BJ35" i="11"/>
  <c r="BI35" i="11"/>
  <c r="BH35" i="11"/>
  <c r="BG35" i="11"/>
  <c r="BF35" i="11"/>
  <c r="BE35" i="11"/>
  <c r="BD35" i="11"/>
  <c r="BC35" i="11"/>
  <c r="BB35" i="11"/>
  <c r="BA35" i="11"/>
  <c r="AZ35" i="11"/>
  <c r="AY35" i="11"/>
  <c r="AX35" i="11"/>
  <c r="AW35" i="11"/>
  <c r="AU35" i="11"/>
  <c r="AT35" i="11"/>
  <c r="AS35" i="11"/>
  <c r="AR35" i="11"/>
  <c r="AQ35" i="11"/>
  <c r="AP35" i="11"/>
  <c r="AM35" i="11"/>
  <c r="AL35" i="11"/>
  <c r="AK35" i="11"/>
  <c r="AJ35" i="11"/>
  <c r="AI35" i="11"/>
  <c r="AH35" i="11"/>
  <c r="AA35" i="11"/>
  <c r="Z35" i="11"/>
  <c r="Y35" i="11"/>
  <c r="X35" i="11"/>
  <c r="W35" i="11"/>
  <c r="U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L34" i="11"/>
  <c r="BK34" i="11"/>
  <c r="BJ34" i="11"/>
  <c r="BI34" i="11"/>
  <c r="BH34" i="11"/>
  <c r="BG34" i="11"/>
  <c r="BF34" i="11"/>
  <c r="BE34" i="11"/>
  <c r="BD34" i="11"/>
  <c r="BC34" i="11"/>
  <c r="BB34" i="11"/>
  <c r="BA34" i="11"/>
  <c r="AZ34" i="11"/>
  <c r="AY34" i="11"/>
  <c r="AX34" i="11"/>
  <c r="AW34" i="11"/>
  <c r="AU34" i="11"/>
  <c r="AT34" i="11"/>
  <c r="AS34" i="11"/>
  <c r="AR34" i="11"/>
  <c r="AQ34" i="11"/>
  <c r="AP34" i="11"/>
  <c r="AM34" i="11"/>
  <c r="AL34" i="11"/>
  <c r="AK34" i="11"/>
  <c r="AJ34" i="11"/>
  <c r="AI34" i="11"/>
  <c r="AH34" i="11"/>
  <c r="AA34" i="11"/>
  <c r="Z34" i="11"/>
  <c r="Y34" i="11"/>
  <c r="X34" i="11"/>
  <c r="W34" i="11"/>
  <c r="U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L33" i="11"/>
  <c r="BK33" i="11"/>
  <c r="BJ33" i="11"/>
  <c r="BI33" i="11"/>
  <c r="BH33" i="11"/>
  <c r="BG33" i="11"/>
  <c r="BF33" i="11"/>
  <c r="BE33" i="11"/>
  <c r="BD33" i="11"/>
  <c r="BC33" i="11"/>
  <c r="BB33" i="11"/>
  <c r="BA33" i="11"/>
  <c r="AZ33" i="11"/>
  <c r="AY33" i="11"/>
  <c r="AX33" i="11"/>
  <c r="AW33" i="11"/>
  <c r="AU33" i="11"/>
  <c r="AT33" i="11"/>
  <c r="AS33" i="11"/>
  <c r="AR33" i="11"/>
  <c r="AQ33" i="11"/>
  <c r="AP33" i="11"/>
  <c r="AM33" i="11"/>
  <c r="AL33" i="11"/>
  <c r="AK33" i="11"/>
  <c r="AJ33" i="11"/>
  <c r="AI33" i="11"/>
  <c r="AH33" i="11"/>
  <c r="AA33" i="11"/>
  <c r="Z33" i="11"/>
  <c r="Y33" i="11"/>
  <c r="X33" i="11"/>
  <c r="W33" i="11"/>
  <c r="U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L32" i="11"/>
  <c r="BK32" i="11"/>
  <c r="BJ32" i="11"/>
  <c r="BI32" i="11"/>
  <c r="BH32" i="11"/>
  <c r="BG32" i="11"/>
  <c r="BF32" i="11"/>
  <c r="BE32" i="11"/>
  <c r="BD32" i="11"/>
  <c r="BC32" i="11"/>
  <c r="BB32" i="11"/>
  <c r="BA32" i="11"/>
  <c r="AZ32" i="11"/>
  <c r="AY32" i="11"/>
  <c r="AX32" i="11"/>
  <c r="AW32" i="11"/>
  <c r="AU32" i="11"/>
  <c r="AT32" i="11"/>
  <c r="AS32" i="11"/>
  <c r="AR32" i="11"/>
  <c r="AQ32" i="11"/>
  <c r="AP32" i="11"/>
  <c r="AM32" i="11"/>
  <c r="AL32" i="11"/>
  <c r="AK32" i="11"/>
  <c r="AJ32" i="11"/>
  <c r="AI32" i="11"/>
  <c r="AH32" i="11"/>
  <c r="AA32" i="11"/>
  <c r="Z32" i="11"/>
  <c r="Y32" i="11"/>
  <c r="X32" i="11"/>
  <c r="W32" i="11"/>
  <c r="U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L31" i="11"/>
  <c r="BK31" i="11"/>
  <c r="BJ31" i="11"/>
  <c r="BI31" i="11"/>
  <c r="BH31" i="11"/>
  <c r="BG31" i="11"/>
  <c r="BF31" i="11"/>
  <c r="BE31" i="11"/>
  <c r="BD31" i="11"/>
  <c r="BC31" i="11"/>
  <c r="BB31" i="11"/>
  <c r="BA31" i="11"/>
  <c r="AZ31" i="11"/>
  <c r="AY31" i="11"/>
  <c r="AX31" i="11"/>
  <c r="AW31" i="11"/>
  <c r="AU31" i="11"/>
  <c r="AT31" i="11"/>
  <c r="AS31" i="11"/>
  <c r="AR31" i="11"/>
  <c r="AQ31" i="11"/>
  <c r="AP31" i="11"/>
  <c r="AM31" i="11"/>
  <c r="AL31" i="11"/>
  <c r="AK31" i="11"/>
  <c r="AJ31" i="11"/>
  <c r="AI31" i="11"/>
  <c r="AH31" i="11"/>
  <c r="AA31" i="11"/>
  <c r="Z31" i="11"/>
  <c r="Y31" i="11"/>
  <c r="X31" i="11"/>
  <c r="W31" i="11"/>
  <c r="U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L30" i="11"/>
  <c r="BK30" i="11"/>
  <c r="BJ30" i="11"/>
  <c r="BI30" i="11"/>
  <c r="BH30" i="11"/>
  <c r="BG30" i="11"/>
  <c r="BF30" i="11"/>
  <c r="BE30" i="11"/>
  <c r="BD30" i="11"/>
  <c r="BC30" i="11"/>
  <c r="BB30" i="11"/>
  <c r="BA30" i="11"/>
  <c r="AZ30" i="11"/>
  <c r="AY30" i="11"/>
  <c r="AX30" i="11"/>
  <c r="AW30" i="11"/>
  <c r="AU30" i="11"/>
  <c r="AT30" i="11"/>
  <c r="AS30" i="11"/>
  <c r="AR30" i="11"/>
  <c r="AQ30" i="11"/>
  <c r="AP30" i="11"/>
  <c r="AM30" i="11"/>
  <c r="AL30" i="11"/>
  <c r="AK30" i="11"/>
  <c r="AJ30" i="11"/>
  <c r="AI30" i="11"/>
  <c r="AH30" i="11"/>
  <c r="AA30" i="11"/>
  <c r="Z30" i="11"/>
  <c r="Y30" i="11"/>
  <c r="X30" i="11"/>
  <c r="W30" i="11"/>
  <c r="U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L29" i="11"/>
  <c r="BK29" i="11"/>
  <c r="BJ29" i="11"/>
  <c r="BI29" i="11"/>
  <c r="BH29" i="11"/>
  <c r="BG29" i="11"/>
  <c r="BF29" i="11"/>
  <c r="BE29" i="11"/>
  <c r="BD29" i="11"/>
  <c r="BC29" i="11"/>
  <c r="BB29" i="11"/>
  <c r="BA29" i="11"/>
  <c r="AZ29" i="11"/>
  <c r="AY29" i="11"/>
  <c r="AX29" i="11"/>
  <c r="AW29" i="11"/>
  <c r="AU29" i="11"/>
  <c r="AT29" i="11"/>
  <c r="AS29" i="11"/>
  <c r="AR29" i="11"/>
  <c r="AQ29" i="11"/>
  <c r="AP29" i="11"/>
  <c r="AM29" i="11"/>
  <c r="AL29" i="11"/>
  <c r="AK29" i="11"/>
  <c r="AJ29" i="11"/>
  <c r="AI29" i="11"/>
  <c r="AH29" i="11"/>
  <c r="AA29" i="11"/>
  <c r="Z29" i="11"/>
  <c r="Y29" i="11"/>
  <c r="X29" i="11"/>
  <c r="W29" i="11"/>
  <c r="U29" i="11"/>
  <c r="Q29" i="11"/>
  <c r="Q30" i="11" s="1"/>
  <c r="Q31" i="11" s="1"/>
  <c r="Q32" i="11" s="1"/>
  <c r="Q33" i="11" s="1"/>
  <c r="Q34" i="11" s="1"/>
  <c r="Q35" i="11" s="1"/>
  <c r="Q36" i="11" s="1"/>
  <c r="Q37" i="11" s="1"/>
  <c r="Q38" i="11" s="1"/>
  <c r="Q39" i="11" s="1"/>
  <c r="Q40" i="11" s="1"/>
  <c r="Q41" i="11" s="1"/>
  <c r="Q42" i="11" s="1"/>
  <c r="Q43" i="11" s="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L28" i="11"/>
  <c r="BK28" i="11"/>
  <c r="BJ28" i="11"/>
  <c r="BI28" i="11"/>
  <c r="BH28" i="11"/>
  <c r="BG28" i="11"/>
  <c r="BF28" i="11"/>
  <c r="BE28" i="11"/>
  <c r="BD28" i="11"/>
  <c r="BC28" i="11"/>
  <c r="BB28" i="11"/>
  <c r="BA28" i="11"/>
  <c r="AZ28" i="11"/>
  <c r="AY28" i="11"/>
  <c r="AX28" i="11"/>
  <c r="AW28" i="11"/>
  <c r="AU28" i="11"/>
  <c r="AT28" i="11"/>
  <c r="AS28" i="11"/>
  <c r="AR28" i="11"/>
  <c r="AQ28" i="11"/>
  <c r="AP28" i="11"/>
  <c r="AM28" i="11"/>
  <c r="AL28" i="11"/>
  <c r="AK28" i="11"/>
  <c r="AJ28" i="11"/>
  <c r="AI28" i="11"/>
  <c r="AH28" i="11"/>
  <c r="AA28" i="11"/>
  <c r="Z28" i="11"/>
  <c r="Y28" i="11"/>
  <c r="X28" i="11"/>
  <c r="W28" i="11"/>
  <c r="U28" i="11"/>
  <c r="T28" i="11"/>
  <c r="T29" i="11" s="1"/>
  <c r="T30" i="11" s="1"/>
  <c r="T31" i="11" s="1"/>
  <c r="T32" i="11" s="1"/>
  <c r="T33" i="11" s="1"/>
  <c r="Q28" i="11"/>
  <c r="M28" i="11"/>
  <c r="L28" i="11"/>
  <c r="K28" i="11"/>
  <c r="J28" i="11"/>
  <c r="I28" i="11"/>
  <c r="H28" i="11"/>
  <c r="G28" i="11"/>
  <c r="F28" i="11"/>
  <c r="E28" i="11"/>
  <c r="D28" i="11"/>
  <c r="C28" i="11"/>
  <c r="BL27" i="11"/>
  <c r="BK27" i="11"/>
  <c r="BJ27" i="11"/>
  <c r="BI27" i="11"/>
  <c r="BH27" i="11"/>
  <c r="BG27" i="11"/>
  <c r="BF27" i="11"/>
  <c r="BE27" i="11"/>
  <c r="BD27" i="11"/>
  <c r="BC27" i="11"/>
  <c r="BB27" i="11"/>
  <c r="BA27" i="11"/>
  <c r="AZ27" i="11"/>
  <c r="AY27" i="11"/>
  <c r="AX27" i="11"/>
  <c r="AW27" i="11"/>
  <c r="AU27" i="11"/>
  <c r="AT27" i="11"/>
  <c r="AS27" i="11"/>
  <c r="AR27" i="11"/>
  <c r="AQ27" i="11"/>
  <c r="AP27" i="11"/>
  <c r="AM27" i="11"/>
  <c r="AL27" i="11"/>
  <c r="AK27" i="11"/>
  <c r="AJ27" i="11"/>
  <c r="AI27" i="11"/>
  <c r="AH27" i="11"/>
  <c r="AA27" i="11"/>
  <c r="Z27" i="11"/>
  <c r="Y27" i="11"/>
  <c r="X27" i="11"/>
  <c r="W27" i="11"/>
  <c r="U27" i="11"/>
  <c r="T27" i="11"/>
  <c r="Q27" i="11"/>
  <c r="J27" i="11"/>
  <c r="H27" i="11"/>
  <c r="G27" i="11"/>
  <c r="F27" i="11"/>
  <c r="E27" i="11"/>
  <c r="D27" i="11"/>
  <c r="C27" i="11"/>
  <c r="BL26" i="11"/>
  <c r="BK26" i="11"/>
  <c r="BJ26" i="11"/>
  <c r="BI26" i="11"/>
  <c r="BH26" i="11"/>
  <c r="BG26" i="11"/>
  <c r="BF26" i="11"/>
  <c r="BE26" i="11"/>
  <c r="BD26" i="11"/>
  <c r="BC26" i="11"/>
  <c r="BB26" i="11"/>
  <c r="BA26" i="11"/>
  <c r="AZ26" i="11"/>
  <c r="AY26" i="11"/>
  <c r="AX26" i="11"/>
  <c r="AW26" i="11"/>
  <c r="AU26" i="11"/>
  <c r="AT26" i="11"/>
  <c r="AS26" i="11"/>
  <c r="AR26" i="11"/>
  <c r="AQ26" i="11"/>
  <c r="AP26" i="11"/>
  <c r="AM26" i="11"/>
  <c r="AL26" i="11"/>
  <c r="AK26" i="11"/>
  <c r="AJ26" i="11"/>
  <c r="AI26" i="11"/>
  <c r="AH26" i="11"/>
  <c r="AA26" i="11"/>
  <c r="Z26" i="11"/>
  <c r="Y26" i="11"/>
  <c r="X26" i="11"/>
  <c r="W26" i="11"/>
  <c r="U26" i="11"/>
  <c r="T26" i="11"/>
  <c r="Q26" i="11"/>
  <c r="P26" i="11"/>
  <c r="P27" i="11" s="1"/>
  <c r="P28" i="11" s="1"/>
  <c r="P29" i="11" s="1"/>
  <c r="P30" i="11" s="1"/>
  <c r="P31" i="11" s="1"/>
  <c r="P32" i="11" s="1"/>
  <c r="P33" i="11" s="1"/>
  <c r="P34" i="11" s="1"/>
  <c r="P35" i="11" s="1"/>
  <c r="P36" i="11" s="1"/>
  <c r="P37" i="11" s="1"/>
  <c r="P38" i="11" s="1"/>
  <c r="P39" i="11" s="1"/>
  <c r="P40" i="11" s="1"/>
  <c r="H26" i="11"/>
  <c r="G26" i="11"/>
  <c r="F26" i="11"/>
  <c r="E26" i="11"/>
  <c r="D26" i="11"/>
  <c r="C26" i="11"/>
  <c r="BL25" i="11"/>
  <c r="BK25" i="11"/>
  <c r="BJ25" i="11"/>
  <c r="BI25" i="11"/>
  <c r="BH25" i="11"/>
  <c r="BG25" i="11"/>
  <c r="BF25" i="11"/>
  <c r="BE25" i="11"/>
  <c r="BD25" i="11"/>
  <c r="BC25" i="11"/>
  <c r="BB25" i="11"/>
  <c r="BA25" i="11"/>
  <c r="AZ25" i="11"/>
  <c r="AY25" i="11"/>
  <c r="AX25" i="11"/>
  <c r="AW25" i="11"/>
  <c r="AU25" i="11"/>
  <c r="AT25" i="11"/>
  <c r="AS25" i="11"/>
  <c r="AR25" i="11"/>
  <c r="AQ25" i="11"/>
  <c r="AP25" i="11"/>
  <c r="AM25" i="11"/>
  <c r="AL25" i="11"/>
  <c r="AK25" i="11"/>
  <c r="AJ25" i="11"/>
  <c r="AI25" i="11"/>
  <c r="AH25" i="11"/>
  <c r="AA25" i="11"/>
  <c r="Z25" i="11"/>
  <c r="Y25" i="11"/>
  <c r="X25" i="11"/>
  <c r="W25" i="11"/>
  <c r="U25" i="11"/>
  <c r="T25" i="11"/>
  <c r="Q25" i="11"/>
  <c r="P25" i="11"/>
  <c r="F25" i="11"/>
  <c r="D25" i="11"/>
  <c r="C25" i="11"/>
  <c r="BL24" i="11"/>
  <c r="BK24" i="11"/>
  <c r="BJ24" i="11"/>
  <c r="BI24" i="11"/>
  <c r="BH24" i="11"/>
  <c r="BG24" i="11"/>
  <c r="BF24" i="11"/>
  <c r="BE24" i="11"/>
  <c r="BD24" i="11"/>
  <c r="BC24" i="11"/>
  <c r="BB24" i="11"/>
  <c r="BA24" i="11"/>
  <c r="AZ24" i="11"/>
  <c r="AY24" i="11"/>
  <c r="AX24" i="11"/>
  <c r="AW24" i="11"/>
  <c r="AU24" i="11"/>
  <c r="AT24" i="11"/>
  <c r="AS24" i="11"/>
  <c r="AR24" i="11"/>
  <c r="AQ24" i="11"/>
  <c r="AP24" i="11"/>
  <c r="AM24" i="11"/>
  <c r="AL24" i="11"/>
  <c r="AK24" i="11"/>
  <c r="AJ24" i="11"/>
  <c r="AI24" i="11"/>
  <c r="AH24" i="11"/>
  <c r="AG24" i="11"/>
  <c r="AG25" i="11" s="1"/>
  <c r="AG26" i="11" s="1"/>
  <c r="AG27" i="11" s="1"/>
  <c r="AG28" i="11" s="1"/>
  <c r="AG29" i="11" s="1"/>
  <c r="AG30" i="11" s="1"/>
  <c r="AG31" i="11" s="1"/>
  <c r="AG32" i="11" s="1"/>
  <c r="AG33" i="11" s="1"/>
  <c r="AG34" i="11" s="1"/>
  <c r="AG35" i="11" s="1"/>
  <c r="AG36" i="11" s="1"/>
  <c r="AG37" i="11" s="1"/>
  <c r="AG38" i="11" s="1"/>
  <c r="AG39" i="11" s="1"/>
  <c r="AG40" i="11" s="1"/>
  <c r="AG41" i="11" s="1"/>
  <c r="AG42" i="11" s="1"/>
  <c r="AG43" i="11" s="1"/>
  <c r="AG44" i="11" s="1"/>
  <c r="AG45" i="11" s="1"/>
  <c r="AG46" i="11" s="1"/>
  <c r="AG47" i="11" s="1"/>
  <c r="AG48" i="11" s="1"/>
  <c r="AG49" i="11" s="1"/>
  <c r="AG50" i="11" s="1"/>
  <c r="AG51" i="11" s="1"/>
  <c r="AG52" i="11" s="1"/>
  <c r="AG53" i="11" s="1"/>
  <c r="AG54" i="11" s="1"/>
  <c r="AG55" i="11" s="1"/>
  <c r="AG56" i="11" s="1"/>
  <c r="AG57" i="11" s="1"/>
  <c r="AG58" i="11" s="1"/>
  <c r="AG59" i="11" s="1"/>
  <c r="AG60" i="11" s="1"/>
  <c r="AG61" i="11" s="1"/>
  <c r="AG62" i="11" s="1"/>
  <c r="AG63" i="11" s="1"/>
  <c r="AF24" i="11"/>
  <c r="AF25" i="11" s="1"/>
  <c r="AF26" i="11" s="1"/>
  <c r="AF27" i="11" s="1"/>
  <c r="AF28" i="11" s="1"/>
  <c r="AF29" i="11" s="1"/>
  <c r="AF30" i="11" s="1"/>
  <c r="AF31" i="11" s="1"/>
  <c r="AF32" i="11" s="1"/>
  <c r="AF33" i="11" s="1"/>
  <c r="AF34" i="11" s="1"/>
  <c r="AF35" i="11" s="1"/>
  <c r="AF36" i="11" s="1"/>
  <c r="AF37" i="11" s="1"/>
  <c r="AF38" i="11" s="1"/>
  <c r="AF39" i="11" s="1"/>
  <c r="AF40" i="11" s="1"/>
  <c r="AF41" i="11" s="1"/>
  <c r="AF42" i="11" s="1"/>
  <c r="AF43" i="11" s="1"/>
  <c r="AF44" i="11" s="1"/>
  <c r="AF45" i="11" s="1"/>
  <c r="AF46" i="11" s="1"/>
  <c r="AF47" i="11" s="1"/>
  <c r="AF48" i="11" s="1"/>
  <c r="AF49" i="11" s="1"/>
  <c r="AF50" i="11" s="1"/>
  <c r="AF51" i="11" s="1"/>
  <c r="AF52" i="11" s="1"/>
  <c r="AF53" i="11" s="1"/>
  <c r="AF54" i="11" s="1"/>
  <c r="AF55" i="11" s="1"/>
  <c r="AF56" i="11" s="1"/>
  <c r="AF57" i="11" s="1"/>
  <c r="AF58" i="11" s="1"/>
  <c r="AF59" i="11" s="1"/>
  <c r="AF60" i="11" s="1"/>
  <c r="AF61" i="11" s="1"/>
  <c r="AF62" i="11" s="1"/>
  <c r="AF63" i="11" s="1"/>
  <c r="AA24" i="11"/>
  <c r="Z24" i="11"/>
  <c r="Y24" i="11"/>
  <c r="X24" i="11"/>
  <c r="W24" i="11"/>
  <c r="V24" i="11"/>
  <c r="V25" i="11" s="1"/>
  <c r="V26" i="11" s="1"/>
  <c r="V27" i="11" s="1"/>
  <c r="V28" i="11" s="1"/>
  <c r="V29" i="11" s="1"/>
  <c r="U24" i="11"/>
  <c r="T24" i="11"/>
  <c r="Q24" i="11"/>
  <c r="P24" i="11"/>
  <c r="G24" i="11"/>
  <c r="G25" i="11" s="1"/>
  <c r="F24" i="11"/>
  <c r="D24" i="11"/>
  <c r="C24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U23" i="11"/>
  <c r="AT23" i="11"/>
  <c r="AS23" i="11"/>
  <c r="AR23" i="11"/>
  <c r="AQ23" i="11"/>
  <c r="AP23" i="11"/>
  <c r="AM23" i="11"/>
  <c r="AL23" i="11"/>
  <c r="AK23" i="11"/>
  <c r="AJ23" i="11"/>
  <c r="AI23" i="11"/>
  <c r="AH23" i="11"/>
  <c r="AG23" i="11"/>
  <c r="AF23" i="11"/>
  <c r="AE23" i="11"/>
  <c r="AE24" i="11" s="1"/>
  <c r="AE25" i="11" s="1"/>
  <c r="AE26" i="11" s="1"/>
  <c r="AE27" i="11" s="1"/>
  <c r="AE28" i="11" s="1"/>
  <c r="AE29" i="11" s="1"/>
  <c r="AE30" i="11" s="1"/>
  <c r="AE31" i="11" s="1"/>
  <c r="AE32" i="11" s="1"/>
  <c r="AE33" i="11" s="1"/>
  <c r="AE34" i="11" s="1"/>
  <c r="AE35" i="11" s="1"/>
  <c r="AE36" i="11" s="1"/>
  <c r="AE37" i="11" s="1"/>
  <c r="AE38" i="11" s="1"/>
  <c r="AE39" i="11" s="1"/>
  <c r="AE40" i="11" s="1"/>
  <c r="AE41" i="11" s="1"/>
  <c r="AE42" i="11" s="1"/>
  <c r="AE43" i="11" s="1"/>
  <c r="AE44" i="11" s="1"/>
  <c r="AE45" i="11" s="1"/>
  <c r="AE46" i="11" s="1"/>
  <c r="AE47" i="11" s="1"/>
  <c r="AE48" i="11" s="1"/>
  <c r="AE49" i="11" s="1"/>
  <c r="AE50" i="11" s="1"/>
  <c r="AE51" i="11" s="1"/>
  <c r="AE52" i="11" s="1"/>
  <c r="AE53" i="11" s="1"/>
  <c r="AE54" i="11" s="1"/>
  <c r="AE55" i="11" s="1"/>
  <c r="AE56" i="11" s="1"/>
  <c r="AE57" i="11" s="1"/>
  <c r="AE58" i="11" s="1"/>
  <c r="AE59" i="11" s="1"/>
  <c r="AE60" i="11" s="1"/>
  <c r="AE61" i="11" s="1"/>
  <c r="AE62" i="11" s="1"/>
  <c r="AE63" i="11" s="1"/>
  <c r="AA23" i="11"/>
  <c r="Z23" i="11"/>
  <c r="Y23" i="11"/>
  <c r="X23" i="11"/>
  <c r="W23" i="11"/>
  <c r="V23" i="11"/>
  <c r="U23" i="11"/>
  <c r="T23" i="11"/>
  <c r="Q23" i="11"/>
  <c r="P23" i="11"/>
  <c r="G23" i="11"/>
  <c r="F23" i="11"/>
  <c r="E23" i="11"/>
  <c r="E24" i="11" s="1"/>
  <c r="E25" i="11" s="1"/>
  <c r="D23" i="11"/>
  <c r="C23" i="11"/>
  <c r="BL22" i="11"/>
  <c r="BK22" i="11"/>
  <c r="BJ22" i="11"/>
  <c r="BI22" i="11"/>
  <c r="BH22" i="11"/>
  <c r="BG22" i="11"/>
  <c r="BF22" i="11"/>
  <c r="BE22" i="11"/>
  <c r="BD22" i="11"/>
  <c r="BC22" i="11"/>
  <c r="BB22" i="11"/>
  <c r="BA22" i="11"/>
  <c r="AZ22" i="11"/>
  <c r="AY22" i="11"/>
  <c r="AX22" i="11"/>
  <c r="AW22" i="11"/>
  <c r="AU22" i="11"/>
  <c r="AT22" i="11"/>
  <c r="AS22" i="11"/>
  <c r="AR22" i="11"/>
  <c r="AQ22" i="11"/>
  <c r="AP22" i="11"/>
  <c r="AM22" i="11"/>
  <c r="AL22" i="11"/>
  <c r="AK22" i="11"/>
  <c r="AJ22" i="11"/>
  <c r="AI22" i="11"/>
  <c r="AH22" i="11"/>
  <c r="AG22" i="11"/>
  <c r="AF22" i="11"/>
  <c r="AE22" i="11"/>
  <c r="AA22" i="11"/>
  <c r="Z22" i="11"/>
  <c r="Y22" i="11"/>
  <c r="X22" i="11"/>
  <c r="W22" i="11"/>
  <c r="V22" i="11"/>
  <c r="U22" i="11"/>
  <c r="T22" i="11"/>
  <c r="Q22" i="11"/>
  <c r="P22" i="11"/>
  <c r="H22" i="11"/>
  <c r="H23" i="11" s="1"/>
  <c r="H24" i="11" s="1"/>
  <c r="H25" i="11" s="1"/>
  <c r="G22" i="11"/>
  <c r="F22" i="11"/>
  <c r="E22" i="11"/>
  <c r="D22" i="11"/>
  <c r="C22" i="11"/>
  <c r="BL21" i="11"/>
  <c r="BK21" i="11"/>
  <c r="BJ21" i="11"/>
  <c r="BI21" i="11"/>
  <c r="BH21" i="11"/>
  <c r="BG21" i="11"/>
  <c r="BF21" i="11"/>
  <c r="BE21" i="11"/>
  <c r="BD21" i="11"/>
  <c r="BC21" i="11"/>
  <c r="BB21" i="11"/>
  <c r="BA21" i="11"/>
  <c r="AZ21" i="11"/>
  <c r="AY21" i="11"/>
  <c r="AX21" i="11"/>
  <c r="AW21" i="11"/>
  <c r="AU21" i="11"/>
  <c r="AT21" i="11"/>
  <c r="AS21" i="11"/>
  <c r="AR21" i="11"/>
  <c r="AQ21" i="11"/>
  <c r="AP21" i="11"/>
  <c r="AM21" i="11"/>
  <c r="AL21" i="11"/>
  <c r="AK21" i="11"/>
  <c r="AJ21" i="11"/>
  <c r="AI21" i="11"/>
  <c r="AH21" i="11"/>
  <c r="AG21" i="11"/>
  <c r="AF21" i="11"/>
  <c r="AE21" i="11"/>
  <c r="AA21" i="11"/>
  <c r="Z21" i="11"/>
  <c r="Y21" i="11"/>
  <c r="X21" i="11"/>
  <c r="W21" i="11"/>
  <c r="V21" i="11"/>
  <c r="U21" i="11"/>
  <c r="T21" i="11"/>
  <c r="Q21" i="11"/>
  <c r="P21" i="11"/>
  <c r="H21" i="11"/>
  <c r="G21" i="11"/>
  <c r="F21" i="11"/>
  <c r="E21" i="11"/>
  <c r="D21" i="11"/>
  <c r="C21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U20" i="11"/>
  <c r="AT20" i="11"/>
  <c r="AS20" i="11"/>
  <c r="AR20" i="11"/>
  <c r="AQ20" i="11"/>
  <c r="AP20" i="11"/>
  <c r="AM20" i="11"/>
  <c r="AL20" i="11"/>
  <c r="AK20" i="11"/>
  <c r="AJ20" i="11"/>
  <c r="AI20" i="11"/>
  <c r="AH20" i="11"/>
  <c r="AG20" i="11"/>
  <c r="AF20" i="11"/>
  <c r="AE20" i="11"/>
  <c r="AA20" i="11"/>
  <c r="Z20" i="11"/>
  <c r="Y20" i="11"/>
  <c r="X20" i="11"/>
  <c r="W20" i="11"/>
  <c r="V20" i="11"/>
  <c r="U20" i="11"/>
  <c r="T20" i="11"/>
  <c r="Q20" i="11"/>
  <c r="P20" i="11"/>
  <c r="H20" i="11"/>
  <c r="G20" i="11"/>
  <c r="F20" i="11"/>
  <c r="E20" i="11"/>
  <c r="D20" i="11"/>
  <c r="C20" i="11"/>
  <c r="BL19" i="11"/>
  <c r="BK19" i="11"/>
  <c r="BJ19" i="11"/>
  <c r="BI19" i="11"/>
  <c r="BH19" i="11"/>
  <c r="BG19" i="11"/>
  <c r="BF19" i="11"/>
  <c r="BE19" i="11"/>
  <c r="BD19" i="11"/>
  <c r="BC19" i="11"/>
  <c r="BB19" i="11"/>
  <c r="BA19" i="11"/>
  <c r="AZ19" i="11"/>
  <c r="AY19" i="11"/>
  <c r="AX19" i="11"/>
  <c r="AW19" i="11"/>
  <c r="AU19" i="11"/>
  <c r="AT19" i="11"/>
  <c r="AS19" i="11"/>
  <c r="AR19" i="11"/>
  <c r="AQ19" i="11"/>
  <c r="AP19" i="11"/>
  <c r="AM19" i="11"/>
  <c r="AL19" i="11"/>
  <c r="AK19" i="11"/>
  <c r="AJ19" i="11"/>
  <c r="AI19" i="11"/>
  <c r="AH19" i="11"/>
  <c r="AG19" i="11"/>
  <c r="AF19" i="11"/>
  <c r="AE19" i="11"/>
  <c r="AA19" i="11"/>
  <c r="Z19" i="11"/>
  <c r="Y19" i="11"/>
  <c r="X19" i="11"/>
  <c r="W19" i="11"/>
  <c r="V19" i="11"/>
  <c r="U19" i="11"/>
  <c r="T19" i="11"/>
  <c r="Q19" i="11"/>
  <c r="P19" i="11"/>
  <c r="H19" i="11"/>
  <c r="G19" i="11"/>
  <c r="F19" i="11"/>
  <c r="E19" i="11"/>
  <c r="BL18" i="11"/>
  <c r="BK18" i="11"/>
  <c r="BJ18" i="11"/>
  <c r="BI18" i="11"/>
  <c r="BH18" i="11"/>
  <c r="BG18" i="11"/>
  <c r="BF18" i="11"/>
  <c r="BE18" i="11"/>
  <c r="BD18" i="11"/>
  <c r="BC18" i="11"/>
  <c r="BB18" i="11"/>
  <c r="BA18" i="11"/>
  <c r="AZ18" i="11"/>
  <c r="AY18" i="11"/>
  <c r="AX18" i="11"/>
  <c r="AW18" i="11"/>
  <c r="AU18" i="11"/>
  <c r="AT18" i="11"/>
  <c r="AS18" i="11"/>
  <c r="AR18" i="11"/>
  <c r="AQ18" i="11"/>
  <c r="AP18" i="11"/>
  <c r="AM18" i="11"/>
  <c r="AL18" i="11"/>
  <c r="AK18" i="11"/>
  <c r="AJ18" i="11"/>
  <c r="AI18" i="11"/>
  <c r="AH18" i="11"/>
  <c r="AG18" i="11"/>
  <c r="AF18" i="11"/>
  <c r="AE18" i="11"/>
  <c r="AA18" i="11"/>
  <c r="Z18" i="11"/>
  <c r="Y18" i="11"/>
  <c r="X18" i="11"/>
  <c r="W18" i="11"/>
  <c r="V18" i="11"/>
  <c r="U18" i="11"/>
  <c r="T18" i="11"/>
  <c r="Q18" i="11"/>
  <c r="P18" i="11"/>
  <c r="H18" i="11"/>
  <c r="G18" i="11"/>
  <c r="F18" i="11"/>
  <c r="E18" i="11"/>
  <c r="BL17" i="11"/>
  <c r="BK17" i="11"/>
  <c r="BJ17" i="11"/>
  <c r="BI17" i="11"/>
  <c r="BH17" i="11"/>
  <c r="BG17" i="11"/>
  <c r="BF17" i="11"/>
  <c r="BE17" i="11"/>
  <c r="BD17" i="11"/>
  <c r="BC17" i="11"/>
  <c r="BB17" i="11"/>
  <c r="BA17" i="11"/>
  <c r="AZ17" i="11"/>
  <c r="AY17" i="11"/>
  <c r="AX17" i="11"/>
  <c r="AW17" i="11"/>
  <c r="AU17" i="11"/>
  <c r="AT17" i="11"/>
  <c r="AS17" i="11"/>
  <c r="AR17" i="11"/>
  <c r="AQ17" i="11"/>
  <c r="AP17" i="11"/>
  <c r="AM17" i="11"/>
  <c r="AL17" i="11"/>
  <c r="AK17" i="11"/>
  <c r="AJ17" i="11"/>
  <c r="AI17" i="11"/>
  <c r="AH17" i="11"/>
  <c r="AG17" i="11"/>
  <c r="AF17" i="11"/>
  <c r="AE17" i="11"/>
  <c r="AA17" i="11"/>
  <c r="Z17" i="11"/>
  <c r="Y17" i="11"/>
  <c r="X17" i="11"/>
  <c r="W17" i="11"/>
  <c r="V17" i="11"/>
  <c r="U17" i="11"/>
  <c r="T17" i="11"/>
  <c r="Q17" i="11"/>
  <c r="P17" i="11"/>
  <c r="H17" i="11"/>
  <c r="G17" i="11"/>
  <c r="F17" i="11"/>
  <c r="E17" i="11"/>
  <c r="D17" i="11"/>
  <c r="D18" i="11" s="1"/>
  <c r="D19" i="11" s="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U16" i="11"/>
  <c r="AT16" i="11"/>
  <c r="AS16" i="11"/>
  <c r="AR16" i="11"/>
  <c r="AQ16" i="11"/>
  <c r="AP16" i="11"/>
  <c r="AM16" i="11"/>
  <c r="AL16" i="11"/>
  <c r="AK16" i="11"/>
  <c r="AJ16" i="11"/>
  <c r="AI16" i="11"/>
  <c r="AH16" i="11"/>
  <c r="AG16" i="11"/>
  <c r="AF16" i="11"/>
  <c r="AE16" i="11"/>
  <c r="AA16" i="11"/>
  <c r="Z16" i="11"/>
  <c r="Y16" i="11"/>
  <c r="X16" i="11"/>
  <c r="W16" i="11"/>
  <c r="V16" i="11"/>
  <c r="U16" i="11"/>
  <c r="T16" i="11"/>
  <c r="Q16" i="11"/>
  <c r="P16" i="11"/>
  <c r="H16" i="11"/>
  <c r="G16" i="11"/>
  <c r="F16" i="11"/>
  <c r="E16" i="11"/>
  <c r="D16" i="11"/>
  <c r="BL15" i="11"/>
  <c r="BK15" i="11"/>
  <c r="BJ15" i="11"/>
  <c r="BI15" i="11"/>
  <c r="BH15" i="11"/>
  <c r="BG15" i="11"/>
  <c r="BF15" i="11"/>
  <c r="BE15" i="11"/>
  <c r="BD15" i="11"/>
  <c r="BC15" i="11"/>
  <c r="BB15" i="11"/>
  <c r="BA15" i="11"/>
  <c r="AZ15" i="11"/>
  <c r="AY15" i="11"/>
  <c r="AX15" i="11"/>
  <c r="AW15" i="11"/>
  <c r="AU15" i="11"/>
  <c r="AT15" i="11"/>
  <c r="AS15" i="11"/>
  <c r="AR15" i="11"/>
  <c r="AQ15" i="11"/>
  <c r="AP15" i="11"/>
  <c r="AM15" i="11"/>
  <c r="AL15" i="11"/>
  <c r="AK15" i="11"/>
  <c r="AJ15" i="11"/>
  <c r="AI15" i="11"/>
  <c r="AH15" i="11"/>
  <c r="AG15" i="11"/>
  <c r="AF15" i="11"/>
  <c r="AE15" i="11"/>
  <c r="AA15" i="11"/>
  <c r="Z15" i="11"/>
  <c r="Y15" i="11"/>
  <c r="X15" i="11"/>
  <c r="W15" i="11"/>
  <c r="V15" i="11"/>
  <c r="U15" i="11"/>
  <c r="T15" i="11"/>
  <c r="Q15" i="11"/>
  <c r="P15" i="11"/>
  <c r="H15" i="11"/>
  <c r="G15" i="11"/>
  <c r="F15" i="11"/>
  <c r="E15" i="11"/>
  <c r="D15" i="11"/>
  <c r="BL14" i="11"/>
  <c r="BK14" i="11"/>
  <c r="BJ14" i="11"/>
  <c r="BI14" i="11"/>
  <c r="BH14" i="11"/>
  <c r="BG14" i="11"/>
  <c r="BF14" i="11"/>
  <c r="BE14" i="11"/>
  <c r="BD14" i="11"/>
  <c r="BC14" i="11"/>
  <c r="BB14" i="11"/>
  <c r="BA14" i="11"/>
  <c r="AZ14" i="11"/>
  <c r="AY14" i="11"/>
  <c r="AX14" i="11"/>
  <c r="AW14" i="11"/>
  <c r="AU14" i="11"/>
  <c r="AT14" i="11"/>
  <c r="AS14" i="11"/>
  <c r="AR14" i="11"/>
  <c r="AQ14" i="11"/>
  <c r="AP14" i="11"/>
  <c r="AM14" i="11"/>
  <c r="AL14" i="11"/>
  <c r="AK14" i="11"/>
  <c r="AJ14" i="11"/>
  <c r="AI14" i="11"/>
  <c r="AH14" i="11"/>
  <c r="AG14" i="11"/>
  <c r="AF14" i="11"/>
  <c r="AE14" i="11"/>
  <c r="AA14" i="11"/>
  <c r="Z14" i="11"/>
  <c r="Y14" i="11"/>
  <c r="X14" i="11"/>
  <c r="W14" i="11"/>
  <c r="V14" i="11"/>
  <c r="U14" i="11"/>
  <c r="T14" i="11"/>
  <c r="Q14" i="11"/>
  <c r="P14" i="11"/>
  <c r="H14" i="11"/>
  <c r="G14" i="11"/>
  <c r="F14" i="11"/>
  <c r="E14" i="11"/>
  <c r="D14" i="11"/>
  <c r="BL13" i="11"/>
  <c r="BK13" i="11"/>
  <c r="BJ13" i="11"/>
  <c r="BI13" i="11"/>
  <c r="BH13" i="11"/>
  <c r="BG13" i="11"/>
  <c r="BF13" i="11"/>
  <c r="BE13" i="11"/>
  <c r="BD13" i="11"/>
  <c r="BC13" i="11"/>
  <c r="BB13" i="11"/>
  <c r="BA13" i="11"/>
  <c r="AZ13" i="11"/>
  <c r="AY13" i="11"/>
  <c r="AX13" i="11"/>
  <c r="AW13" i="11"/>
  <c r="AU13" i="11"/>
  <c r="AT13" i="11"/>
  <c r="AS13" i="11"/>
  <c r="AR13" i="11"/>
  <c r="AQ13" i="11"/>
  <c r="AP13" i="11"/>
  <c r="AM13" i="11"/>
  <c r="AL13" i="11"/>
  <c r="AK13" i="11"/>
  <c r="AJ13" i="11"/>
  <c r="AI13" i="11"/>
  <c r="AH13" i="11"/>
  <c r="AG13" i="11"/>
  <c r="AF13" i="11"/>
  <c r="AE13" i="11"/>
  <c r="AA13" i="11"/>
  <c r="Z13" i="11"/>
  <c r="Y13" i="11"/>
  <c r="X13" i="11"/>
  <c r="W13" i="11"/>
  <c r="V13" i="11"/>
  <c r="U13" i="11"/>
  <c r="T13" i="11"/>
  <c r="Q13" i="11"/>
  <c r="P13" i="11"/>
  <c r="H13" i="11"/>
  <c r="G13" i="11"/>
  <c r="F13" i="11"/>
  <c r="E13" i="11"/>
  <c r="D13" i="11"/>
  <c r="BL12" i="11"/>
  <c r="BK12" i="11"/>
  <c r="BJ12" i="11"/>
  <c r="BI12" i="11"/>
  <c r="BH12" i="11"/>
  <c r="BG12" i="11"/>
  <c r="BF12" i="11"/>
  <c r="BE12" i="11"/>
  <c r="BD12" i="11"/>
  <c r="BC12" i="11"/>
  <c r="BB12" i="11"/>
  <c r="BA12" i="11"/>
  <c r="AZ12" i="11"/>
  <c r="AY12" i="11"/>
  <c r="AX12" i="11"/>
  <c r="AW12" i="11"/>
  <c r="AU12" i="11"/>
  <c r="AT12" i="11"/>
  <c r="AS12" i="11"/>
  <c r="AR12" i="11"/>
  <c r="AQ12" i="11"/>
  <c r="AP12" i="11"/>
  <c r="AM12" i="11"/>
  <c r="AL12" i="11"/>
  <c r="AK12" i="11"/>
  <c r="AJ12" i="11"/>
  <c r="AI12" i="11"/>
  <c r="AH12" i="11"/>
  <c r="AG12" i="11"/>
  <c r="AF12" i="11"/>
  <c r="AE12" i="11"/>
  <c r="AA12" i="11"/>
  <c r="Z12" i="11"/>
  <c r="Y12" i="11"/>
  <c r="X12" i="11"/>
  <c r="W12" i="11"/>
  <c r="V12" i="11"/>
  <c r="U12" i="11"/>
  <c r="T12" i="11"/>
  <c r="Q12" i="11"/>
  <c r="P12" i="11"/>
  <c r="H12" i="11"/>
  <c r="G12" i="11"/>
  <c r="F12" i="11"/>
  <c r="E12" i="11"/>
  <c r="D12" i="11"/>
  <c r="BL11" i="11"/>
  <c r="BK11" i="11"/>
  <c r="BJ11" i="11"/>
  <c r="BI11" i="11"/>
  <c r="BH11" i="11"/>
  <c r="BG11" i="11"/>
  <c r="BF11" i="11"/>
  <c r="BE11" i="11"/>
  <c r="BD11" i="11"/>
  <c r="BC11" i="11"/>
  <c r="BB11" i="11"/>
  <c r="BA11" i="11"/>
  <c r="AZ11" i="11"/>
  <c r="AY11" i="11"/>
  <c r="AX11" i="11"/>
  <c r="AW11" i="11"/>
  <c r="AU11" i="11"/>
  <c r="AT11" i="11"/>
  <c r="AS11" i="11"/>
  <c r="AR11" i="11"/>
  <c r="AQ11" i="11"/>
  <c r="AP11" i="11"/>
  <c r="AM11" i="11"/>
  <c r="AL11" i="11"/>
  <c r="AK11" i="11"/>
  <c r="AJ11" i="11"/>
  <c r="AI11" i="11"/>
  <c r="AH11" i="11"/>
  <c r="AG11" i="11"/>
  <c r="AF11" i="11"/>
  <c r="AE11" i="11"/>
  <c r="AA11" i="11"/>
  <c r="Z11" i="11"/>
  <c r="Y11" i="11"/>
  <c r="X11" i="11"/>
  <c r="W11" i="11"/>
  <c r="V11" i="11"/>
  <c r="U11" i="11"/>
  <c r="T11" i="11"/>
  <c r="Q11" i="11"/>
  <c r="P11" i="11"/>
  <c r="N11" i="11"/>
  <c r="N12" i="11" s="1"/>
  <c r="N13" i="11" s="1"/>
  <c r="N14" i="11" s="1"/>
  <c r="N15" i="11" s="1"/>
  <c r="N16" i="11" s="1"/>
  <c r="N17" i="11" s="1"/>
  <c r="N18" i="11" s="1"/>
  <c r="N19" i="11" s="1"/>
  <c r="N20" i="11" s="1"/>
  <c r="N21" i="11" s="1"/>
  <c r="N22" i="11" s="1"/>
  <c r="N23" i="11" s="1"/>
  <c r="N24" i="11" s="1"/>
  <c r="N25" i="11" s="1"/>
  <c r="N26" i="11" s="1"/>
  <c r="N27" i="11" s="1"/>
  <c r="N28" i="11" s="1"/>
  <c r="H11" i="11"/>
  <c r="G11" i="11"/>
  <c r="F11" i="11"/>
  <c r="E11" i="11"/>
  <c r="D11" i="11"/>
  <c r="C11" i="11"/>
  <c r="BL10" i="11"/>
  <c r="BK10" i="11"/>
  <c r="BJ10" i="11"/>
  <c r="BI10" i="11"/>
  <c r="BH10" i="11"/>
  <c r="BG10" i="11"/>
  <c r="BF10" i="11"/>
  <c r="BE10" i="11"/>
  <c r="BD10" i="11"/>
  <c r="BC10" i="11"/>
  <c r="BB10" i="11"/>
  <c r="BA10" i="11"/>
  <c r="AZ10" i="11"/>
  <c r="AY10" i="11"/>
  <c r="AX10" i="11"/>
  <c r="AW10" i="11"/>
  <c r="AU10" i="11"/>
  <c r="AT10" i="11"/>
  <c r="AS10" i="11"/>
  <c r="AR10" i="11"/>
  <c r="AQ10" i="11"/>
  <c r="AP10" i="11"/>
  <c r="AM10" i="11"/>
  <c r="AL10" i="11"/>
  <c r="AK10" i="11"/>
  <c r="AJ10" i="11"/>
  <c r="AI10" i="11"/>
  <c r="AH10" i="11"/>
  <c r="AG10" i="11"/>
  <c r="AF10" i="11"/>
  <c r="AE10" i="11"/>
  <c r="AA10" i="11"/>
  <c r="Z10" i="11"/>
  <c r="Y10" i="11"/>
  <c r="X10" i="11"/>
  <c r="W10" i="11"/>
  <c r="V10" i="11"/>
  <c r="U10" i="11"/>
  <c r="T10" i="11"/>
  <c r="Q10" i="11"/>
  <c r="P10" i="11"/>
  <c r="N10" i="11"/>
  <c r="K10" i="11"/>
  <c r="K11" i="11" s="1"/>
  <c r="K12" i="11" s="1"/>
  <c r="K13" i="11" s="1"/>
  <c r="K14" i="11" s="1"/>
  <c r="K15" i="11" s="1"/>
  <c r="K16" i="11" s="1"/>
  <c r="K17" i="11" s="1"/>
  <c r="K18" i="11" s="1"/>
  <c r="K19" i="11" s="1"/>
  <c r="K20" i="11" s="1"/>
  <c r="K21" i="11" s="1"/>
  <c r="K22" i="11" s="1"/>
  <c r="K23" i="11" s="1"/>
  <c r="K24" i="11" s="1"/>
  <c r="K25" i="11" s="1"/>
  <c r="K26" i="11" s="1"/>
  <c r="K27" i="11" s="1"/>
  <c r="H10" i="11"/>
  <c r="G10" i="11"/>
  <c r="F10" i="11"/>
  <c r="E10" i="11"/>
  <c r="D10" i="11"/>
  <c r="C10" i="11"/>
  <c r="BL9" i="11"/>
  <c r="BK9" i="11"/>
  <c r="BJ9" i="11"/>
  <c r="BI9" i="11"/>
  <c r="BH9" i="11"/>
  <c r="BG9" i="11"/>
  <c r="BF9" i="11"/>
  <c r="BE9" i="11"/>
  <c r="BD9" i="11"/>
  <c r="BC9" i="11"/>
  <c r="BB9" i="11"/>
  <c r="BA9" i="11"/>
  <c r="AZ9" i="11"/>
  <c r="AY9" i="11"/>
  <c r="AX9" i="11"/>
  <c r="AW9" i="11"/>
  <c r="AU9" i="11"/>
  <c r="AT9" i="11"/>
  <c r="AS9" i="11"/>
  <c r="AR9" i="11"/>
  <c r="AQ9" i="11"/>
  <c r="AP9" i="11"/>
  <c r="AM9" i="11"/>
  <c r="AL9" i="11"/>
  <c r="AK9" i="11"/>
  <c r="AJ9" i="11"/>
  <c r="AI9" i="11"/>
  <c r="AH9" i="11"/>
  <c r="AG9" i="11"/>
  <c r="AF9" i="11"/>
  <c r="AE9" i="11"/>
  <c r="AD9" i="11"/>
  <c r="AD10" i="11" s="1"/>
  <c r="AD11" i="11" s="1"/>
  <c r="AD12" i="11" s="1"/>
  <c r="AD13" i="11" s="1"/>
  <c r="AD14" i="11" s="1"/>
  <c r="AD15" i="11" s="1"/>
  <c r="AD16" i="11" s="1"/>
  <c r="AD17" i="11" s="1"/>
  <c r="AD18" i="11" s="1"/>
  <c r="AD19" i="11" s="1"/>
  <c r="AD20" i="11" s="1"/>
  <c r="AD21" i="11" s="1"/>
  <c r="AD22" i="11" s="1"/>
  <c r="AD23" i="11" s="1"/>
  <c r="AD24" i="11" s="1"/>
  <c r="AD25" i="11" s="1"/>
  <c r="AD26" i="11" s="1"/>
  <c r="AD27" i="11" s="1"/>
  <c r="AD28" i="11" s="1"/>
  <c r="AD29" i="11" s="1"/>
  <c r="AD30" i="11" s="1"/>
  <c r="AD31" i="11" s="1"/>
  <c r="AD32" i="11" s="1"/>
  <c r="AD33" i="11" s="1"/>
  <c r="AD34" i="11" s="1"/>
  <c r="AD35" i="11" s="1"/>
  <c r="AD36" i="11" s="1"/>
  <c r="AD37" i="11" s="1"/>
  <c r="AD38" i="11" s="1"/>
  <c r="AD39" i="11" s="1"/>
  <c r="AD40" i="11" s="1"/>
  <c r="AD41" i="11" s="1"/>
  <c r="AD42" i="11" s="1"/>
  <c r="AD43" i="11" s="1"/>
  <c r="AD44" i="11" s="1"/>
  <c r="AD45" i="11" s="1"/>
  <c r="AD46" i="11" s="1"/>
  <c r="AD47" i="11" s="1"/>
  <c r="AD48" i="11" s="1"/>
  <c r="AD49" i="11" s="1"/>
  <c r="AD50" i="11" s="1"/>
  <c r="AD51" i="11" s="1"/>
  <c r="AD52" i="11" s="1"/>
  <c r="AD53" i="11" s="1"/>
  <c r="AD54" i="11" s="1"/>
  <c r="AD55" i="11" s="1"/>
  <c r="AD56" i="11" s="1"/>
  <c r="AD57" i="11" s="1"/>
  <c r="AD58" i="11" s="1"/>
  <c r="AD59" i="11" s="1"/>
  <c r="AD60" i="11" s="1"/>
  <c r="AD61" i="11" s="1"/>
  <c r="AD62" i="11" s="1"/>
  <c r="AD63" i="11" s="1"/>
  <c r="AC9" i="11"/>
  <c r="AC10" i="11" s="1"/>
  <c r="AC11" i="11" s="1"/>
  <c r="AC12" i="11" s="1"/>
  <c r="AC13" i="11" s="1"/>
  <c r="AC14" i="11" s="1"/>
  <c r="AC15" i="11" s="1"/>
  <c r="AC16" i="11" s="1"/>
  <c r="AC17" i="11" s="1"/>
  <c r="AC18" i="11" s="1"/>
  <c r="AC19" i="11" s="1"/>
  <c r="AC20" i="11" s="1"/>
  <c r="AC21" i="11" s="1"/>
  <c r="AC22" i="11" s="1"/>
  <c r="AC23" i="11" s="1"/>
  <c r="AC24" i="11" s="1"/>
  <c r="AC25" i="11" s="1"/>
  <c r="AC26" i="11" s="1"/>
  <c r="AC27" i="11" s="1"/>
  <c r="AC28" i="11" s="1"/>
  <c r="AC29" i="11" s="1"/>
  <c r="AC30" i="11" s="1"/>
  <c r="AC31" i="11" s="1"/>
  <c r="AC32" i="11" s="1"/>
  <c r="AC33" i="11" s="1"/>
  <c r="AC34" i="11" s="1"/>
  <c r="AC35" i="11" s="1"/>
  <c r="AC36" i="11" s="1"/>
  <c r="AC37" i="11" s="1"/>
  <c r="AC38" i="11" s="1"/>
  <c r="AC39" i="11" s="1"/>
  <c r="AC40" i="11" s="1"/>
  <c r="AC41" i="11" s="1"/>
  <c r="AC42" i="11" s="1"/>
  <c r="AC43" i="11" s="1"/>
  <c r="AC44" i="11" s="1"/>
  <c r="AC45" i="11" s="1"/>
  <c r="AC46" i="11" s="1"/>
  <c r="AC47" i="11" s="1"/>
  <c r="AC48" i="11" s="1"/>
  <c r="AC49" i="11" s="1"/>
  <c r="AC50" i="11" s="1"/>
  <c r="AC51" i="11" s="1"/>
  <c r="AC52" i="11" s="1"/>
  <c r="AC53" i="11" s="1"/>
  <c r="AC54" i="11" s="1"/>
  <c r="AC55" i="11" s="1"/>
  <c r="AC56" i="11" s="1"/>
  <c r="AC57" i="11" s="1"/>
  <c r="AC58" i="11" s="1"/>
  <c r="AC59" i="11" s="1"/>
  <c r="AC60" i="11" s="1"/>
  <c r="AC61" i="11" s="1"/>
  <c r="AC62" i="11" s="1"/>
  <c r="AC63" i="11" s="1"/>
  <c r="AA9" i="11"/>
  <c r="Z9" i="11"/>
  <c r="Y9" i="11"/>
  <c r="X9" i="11"/>
  <c r="W9" i="11"/>
  <c r="V9" i="11"/>
  <c r="U9" i="11"/>
  <c r="T9" i="11"/>
  <c r="R9" i="1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R22" i="11" s="1"/>
  <c r="R23" i="11" s="1"/>
  <c r="R24" i="11" s="1"/>
  <c r="R25" i="11" s="1"/>
  <c r="R26" i="11" s="1"/>
  <c r="R27" i="11" s="1"/>
  <c r="R28" i="11" s="1"/>
  <c r="R29" i="11" s="1"/>
  <c r="R30" i="11" s="1"/>
  <c r="R31" i="11" s="1"/>
  <c r="R32" i="11" s="1"/>
  <c r="R33" i="11" s="1"/>
  <c r="R34" i="11" s="1"/>
  <c r="R35" i="11" s="1"/>
  <c r="R36" i="11" s="1"/>
  <c r="R37" i="11" s="1"/>
  <c r="R38" i="11" s="1"/>
  <c r="R39" i="11" s="1"/>
  <c r="R40" i="11" s="1"/>
  <c r="R41" i="11" s="1"/>
  <c r="R42" i="11" s="1"/>
  <c r="R43" i="11" s="1"/>
  <c r="R44" i="11" s="1"/>
  <c r="R45" i="11" s="1"/>
  <c r="Q9" i="11"/>
  <c r="P9" i="11"/>
  <c r="N9" i="11"/>
  <c r="L9" i="11"/>
  <c r="L10" i="11" s="1"/>
  <c r="L11" i="11" s="1"/>
  <c r="L12" i="11" s="1"/>
  <c r="L13" i="11" s="1"/>
  <c r="L14" i="11" s="1"/>
  <c r="L15" i="11" s="1"/>
  <c r="L16" i="11" s="1"/>
  <c r="L17" i="11" s="1"/>
  <c r="L18" i="11" s="1"/>
  <c r="L19" i="11" s="1"/>
  <c r="L20" i="11" s="1"/>
  <c r="L21" i="11" s="1"/>
  <c r="L22" i="11" s="1"/>
  <c r="L23" i="11" s="1"/>
  <c r="L24" i="11" s="1"/>
  <c r="L25" i="11" s="1"/>
  <c r="L26" i="11" s="1"/>
  <c r="L27" i="11" s="1"/>
  <c r="K9" i="11"/>
  <c r="I9" i="11"/>
  <c r="I10" i="11" s="1"/>
  <c r="I11" i="11" s="1"/>
  <c r="I12" i="11" s="1"/>
  <c r="I13" i="11" s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H9" i="11"/>
  <c r="G9" i="11"/>
  <c r="F9" i="11"/>
  <c r="E9" i="11"/>
  <c r="D9" i="11"/>
  <c r="C9" i="11"/>
  <c r="BL8" i="11"/>
  <c r="BK8" i="11"/>
  <c r="BJ8" i="11"/>
  <c r="BI8" i="11"/>
  <c r="BH8" i="11"/>
  <c r="BG8" i="11"/>
  <c r="BF8" i="11"/>
  <c r="BE8" i="11"/>
  <c r="BD8" i="11"/>
  <c r="BC8" i="11"/>
  <c r="BB8" i="11"/>
  <c r="BA8" i="11"/>
  <c r="AZ8" i="11"/>
  <c r="AY8" i="11"/>
  <c r="AX8" i="11"/>
  <c r="AW8" i="11"/>
  <c r="AU8" i="11"/>
  <c r="AT8" i="11"/>
  <c r="AS8" i="11"/>
  <c r="AR8" i="11"/>
  <c r="AQ8" i="11"/>
  <c r="AP8" i="11"/>
  <c r="AM8" i="11"/>
  <c r="AL8" i="11"/>
  <c r="AK8" i="11"/>
  <c r="AJ8" i="11"/>
  <c r="AI8" i="11"/>
  <c r="AH8" i="11"/>
  <c r="AG8" i="11"/>
  <c r="AF8" i="11"/>
  <c r="AE8" i="11"/>
  <c r="AD8" i="11"/>
  <c r="AC8" i="11"/>
  <c r="AA8" i="11"/>
  <c r="Z8" i="11"/>
  <c r="Y8" i="11"/>
  <c r="X8" i="11"/>
  <c r="W8" i="11"/>
  <c r="V8" i="11"/>
  <c r="U8" i="11"/>
  <c r="T8" i="11"/>
  <c r="S8" i="11"/>
  <c r="S9" i="11" s="1"/>
  <c r="S10" i="11" s="1"/>
  <c r="S11" i="11" s="1"/>
  <c r="S12" i="11" s="1"/>
  <c r="S13" i="11" s="1"/>
  <c r="S14" i="11" s="1"/>
  <c r="S15" i="11" s="1"/>
  <c r="S16" i="11" s="1"/>
  <c r="S17" i="11" s="1"/>
  <c r="S18" i="11" s="1"/>
  <c r="S19" i="11" s="1"/>
  <c r="S20" i="11" s="1"/>
  <c r="S21" i="11" s="1"/>
  <c r="S22" i="11" s="1"/>
  <c r="S23" i="11" s="1"/>
  <c r="S24" i="11" s="1"/>
  <c r="S25" i="11" s="1"/>
  <c r="S26" i="11" s="1"/>
  <c r="S27" i="11" s="1"/>
  <c r="S28" i="11" s="1"/>
  <c r="S29" i="11" s="1"/>
  <c r="S30" i="11" s="1"/>
  <c r="S31" i="11" s="1"/>
  <c r="S32" i="11" s="1"/>
  <c r="S33" i="11" s="1"/>
  <c r="S34" i="11" s="1"/>
  <c r="S35" i="11" s="1"/>
  <c r="S36" i="11" s="1"/>
  <c r="S37" i="11" s="1"/>
  <c r="S38" i="11" s="1"/>
  <c r="S39" i="11" s="1"/>
  <c r="S40" i="11" s="1"/>
  <c r="S41" i="11" s="1"/>
  <c r="S42" i="11" s="1"/>
  <c r="S43" i="11" s="1"/>
  <c r="S44" i="11" s="1"/>
  <c r="S45" i="11" s="1"/>
  <c r="R8" i="11"/>
  <c r="Q8" i="11"/>
  <c r="P8" i="11"/>
  <c r="N8" i="11"/>
  <c r="M8" i="1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M20" i="11" s="1"/>
  <c r="M21" i="11" s="1"/>
  <c r="M22" i="11" s="1"/>
  <c r="M23" i="11" s="1"/>
  <c r="M24" i="11" s="1"/>
  <c r="M25" i="11" s="1"/>
  <c r="M26" i="11" s="1"/>
  <c r="M27" i="11" s="1"/>
  <c r="L8" i="11"/>
  <c r="K8" i="11"/>
  <c r="I8" i="11"/>
  <c r="H8" i="11"/>
  <c r="G8" i="11"/>
  <c r="F8" i="11"/>
  <c r="E8" i="11"/>
  <c r="D8" i="11"/>
  <c r="C8" i="11"/>
  <c r="BL7" i="11"/>
  <c r="BK7" i="1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U7" i="11"/>
  <c r="AT7" i="11"/>
  <c r="AS7" i="11"/>
  <c r="AR7" i="11"/>
  <c r="AQ7" i="11"/>
  <c r="AP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B8" i="11" s="1"/>
  <c r="AB9" i="11" s="1"/>
  <c r="AB10" i="11" s="1"/>
  <c r="AB11" i="11" s="1"/>
  <c r="AB12" i="11" s="1"/>
  <c r="AB13" i="11" s="1"/>
  <c r="AB14" i="11" s="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O8" i="11" s="1"/>
  <c r="O9" i="11" s="1"/>
  <c r="O10" i="11" s="1"/>
  <c r="O11" i="11" s="1"/>
  <c r="O12" i="11" s="1"/>
  <c r="O13" i="11" s="1"/>
  <c r="O14" i="11" s="1"/>
  <c r="O15" i="11" s="1"/>
  <c r="O16" i="11" s="1"/>
  <c r="O17" i="11" s="1"/>
  <c r="O18" i="11" s="1"/>
  <c r="O19" i="11" s="1"/>
  <c r="O20" i="11" s="1"/>
  <c r="O21" i="11" s="1"/>
  <c r="O22" i="11" s="1"/>
  <c r="O23" i="11" s="1"/>
  <c r="O24" i="11" s="1"/>
  <c r="O25" i="11" s="1"/>
  <c r="O26" i="11" s="1"/>
  <c r="O27" i="11" s="1"/>
  <c r="O28" i="11" s="1"/>
  <c r="N7" i="11"/>
  <c r="M7" i="11"/>
  <c r="L7" i="11"/>
  <c r="K7" i="11"/>
  <c r="J7" i="11"/>
  <c r="J8" i="11" s="1"/>
  <c r="J9" i="11" s="1"/>
  <c r="J10" i="11" s="1"/>
  <c r="J11" i="11" s="1"/>
  <c r="J12" i="11" s="1"/>
  <c r="J13" i="11" s="1"/>
  <c r="J14" i="11" s="1"/>
  <c r="J15" i="11" s="1"/>
  <c r="J16" i="11" s="1"/>
  <c r="J17" i="11" s="1"/>
  <c r="J18" i="11" s="1"/>
  <c r="J19" i="11" s="1"/>
  <c r="J20" i="11" s="1"/>
  <c r="J21" i="11" s="1"/>
  <c r="J22" i="11" s="1"/>
  <c r="J23" i="11" s="1"/>
  <c r="J24" i="11" s="1"/>
  <c r="J25" i="11" s="1"/>
  <c r="J26" i="11" s="1"/>
  <c r="I7" i="11"/>
  <c r="H7" i="11"/>
  <c r="G7" i="11"/>
  <c r="F7" i="11"/>
  <c r="E7" i="11"/>
  <c r="D7" i="11"/>
  <c r="C7" i="11"/>
  <c r="BP101" i="8"/>
  <c r="BM101" i="8"/>
  <c r="BL101" i="8"/>
  <c r="BK101" i="8"/>
  <c r="BJ101" i="8"/>
  <c r="BI101" i="8"/>
  <c r="BG101" i="8"/>
  <c r="BF101" i="8"/>
  <c r="BE101" i="8"/>
  <c r="BD101" i="8"/>
  <c r="BC101" i="8"/>
  <c r="BB101" i="8"/>
  <c r="BA101" i="8"/>
  <c r="AZ101" i="8"/>
  <c r="AX101" i="8"/>
  <c r="AW101" i="8"/>
  <c r="AV101" i="8"/>
  <c r="AU101" i="8"/>
  <c r="AT101" i="8"/>
  <c r="AS101" i="8"/>
  <c r="BP100" i="8"/>
  <c r="BM100" i="8"/>
  <c r="BL100" i="8"/>
  <c r="BK100" i="8"/>
  <c r="BJ100" i="8"/>
  <c r="BI100" i="8"/>
  <c r="BG100" i="8"/>
  <c r="BF100" i="8"/>
  <c r="BE100" i="8"/>
  <c r="BD100" i="8"/>
  <c r="BC100" i="8"/>
  <c r="BB100" i="8"/>
  <c r="BA100" i="8"/>
  <c r="AZ100" i="8"/>
  <c r="AX100" i="8"/>
  <c r="AW100" i="8"/>
  <c r="AV100" i="8"/>
  <c r="AU100" i="8"/>
  <c r="AT100" i="8"/>
  <c r="AS100" i="8"/>
  <c r="BP99" i="8"/>
  <c r="BM99" i="8"/>
  <c r="BL99" i="8"/>
  <c r="BK99" i="8"/>
  <c r="BJ99" i="8"/>
  <c r="BI99" i="8"/>
  <c r="BG99" i="8"/>
  <c r="BF99" i="8"/>
  <c r="BE99" i="8"/>
  <c r="BD99" i="8"/>
  <c r="BC99" i="8"/>
  <c r="BB99" i="8"/>
  <c r="BA99" i="8"/>
  <c r="AZ99" i="8"/>
  <c r="AX99" i="8"/>
  <c r="AW99" i="8"/>
  <c r="AV99" i="8"/>
  <c r="AU99" i="8"/>
  <c r="AT99" i="8"/>
  <c r="AS99" i="8"/>
  <c r="BP98" i="8"/>
  <c r="BM98" i="8"/>
  <c r="BL98" i="8"/>
  <c r="BK98" i="8"/>
  <c r="BJ98" i="8"/>
  <c r="BI98" i="8"/>
  <c r="BG98" i="8"/>
  <c r="BF98" i="8"/>
  <c r="BE98" i="8"/>
  <c r="BD98" i="8"/>
  <c r="BC98" i="8"/>
  <c r="BB98" i="8"/>
  <c r="BA98" i="8"/>
  <c r="AZ98" i="8"/>
  <c r="AX98" i="8"/>
  <c r="AW98" i="8"/>
  <c r="AV98" i="8"/>
  <c r="AU98" i="8"/>
  <c r="AT98" i="8"/>
  <c r="AS98" i="8"/>
  <c r="BP97" i="8"/>
  <c r="BM97" i="8"/>
  <c r="BL97" i="8"/>
  <c r="BK97" i="8"/>
  <c r="BJ97" i="8"/>
  <c r="BI97" i="8"/>
  <c r="BG97" i="8"/>
  <c r="BF97" i="8"/>
  <c r="BE97" i="8"/>
  <c r="BD97" i="8"/>
  <c r="BC97" i="8"/>
  <c r="BB97" i="8"/>
  <c r="BA97" i="8"/>
  <c r="AZ97" i="8"/>
  <c r="AX97" i="8"/>
  <c r="AW97" i="8"/>
  <c r="AV97" i="8"/>
  <c r="AU97" i="8"/>
  <c r="AT97" i="8"/>
  <c r="AS97" i="8"/>
  <c r="BP96" i="8"/>
  <c r="BM96" i="8"/>
  <c r="BL96" i="8"/>
  <c r="BK96" i="8"/>
  <c r="BJ96" i="8"/>
  <c r="BI96" i="8"/>
  <c r="BG96" i="8"/>
  <c r="BF96" i="8"/>
  <c r="BE96" i="8"/>
  <c r="BD96" i="8"/>
  <c r="BC96" i="8"/>
  <c r="BB96" i="8"/>
  <c r="BA96" i="8"/>
  <c r="AZ96" i="8"/>
  <c r="AX96" i="8"/>
  <c r="AW96" i="8"/>
  <c r="AV96" i="8"/>
  <c r="AU96" i="8"/>
  <c r="AT96" i="8"/>
  <c r="AS96" i="8"/>
  <c r="BP95" i="8"/>
  <c r="BM95" i="8"/>
  <c r="BL95" i="8"/>
  <c r="BK95" i="8"/>
  <c r="BJ95" i="8"/>
  <c r="BI95" i="8"/>
  <c r="BG95" i="8"/>
  <c r="BF95" i="8"/>
  <c r="BE95" i="8"/>
  <c r="BD95" i="8"/>
  <c r="BC95" i="8"/>
  <c r="BB95" i="8"/>
  <c r="BA95" i="8"/>
  <c r="AZ95" i="8"/>
  <c r="AX95" i="8"/>
  <c r="AW95" i="8"/>
  <c r="AV95" i="8"/>
  <c r="AU95" i="8"/>
  <c r="AT95" i="8"/>
  <c r="AS95" i="8"/>
  <c r="BP94" i="8"/>
  <c r="BM94" i="8"/>
  <c r="BL94" i="8"/>
  <c r="BK94" i="8"/>
  <c r="BJ94" i="8"/>
  <c r="BI94" i="8"/>
  <c r="BG94" i="8"/>
  <c r="BF94" i="8"/>
  <c r="BE94" i="8"/>
  <c r="BD94" i="8"/>
  <c r="BC94" i="8"/>
  <c r="BB94" i="8"/>
  <c r="BA94" i="8"/>
  <c r="AZ94" i="8"/>
  <c r="AX94" i="8"/>
  <c r="AW94" i="8"/>
  <c r="AV94" i="8"/>
  <c r="AU94" i="8"/>
  <c r="AT94" i="8"/>
  <c r="AS94" i="8"/>
  <c r="BP93" i="8"/>
  <c r="BM93" i="8"/>
  <c r="BL93" i="8"/>
  <c r="BK93" i="8"/>
  <c r="BJ93" i="8"/>
  <c r="BI93" i="8"/>
  <c r="BG93" i="8"/>
  <c r="BF93" i="8"/>
  <c r="BE93" i="8"/>
  <c r="BD93" i="8"/>
  <c r="BC93" i="8"/>
  <c r="BB93" i="8"/>
  <c r="BA93" i="8"/>
  <c r="AZ93" i="8"/>
  <c r="AX93" i="8"/>
  <c r="AW93" i="8"/>
  <c r="AV93" i="8"/>
  <c r="AU93" i="8"/>
  <c r="AT93" i="8"/>
  <c r="AS93" i="8"/>
  <c r="BP92" i="8"/>
  <c r="BM92" i="8"/>
  <c r="BL92" i="8"/>
  <c r="BK92" i="8"/>
  <c r="BJ92" i="8"/>
  <c r="BI92" i="8"/>
  <c r="BG92" i="8"/>
  <c r="BF92" i="8"/>
  <c r="BE92" i="8"/>
  <c r="BD92" i="8"/>
  <c r="BC92" i="8"/>
  <c r="BB92" i="8"/>
  <c r="BA92" i="8"/>
  <c r="AZ92" i="8"/>
  <c r="AX92" i="8"/>
  <c r="AW92" i="8"/>
  <c r="AV92" i="8"/>
  <c r="AU92" i="8"/>
  <c r="AT92" i="8"/>
  <c r="AS92" i="8"/>
  <c r="BP91" i="8"/>
  <c r="BM91" i="8"/>
  <c r="BL91" i="8"/>
  <c r="BK91" i="8"/>
  <c r="BJ91" i="8"/>
  <c r="BI91" i="8"/>
  <c r="BG91" i="8"/>
  <c r="BF91" i="8"/>
  <c r="BE91" i="8"/>
  <c r="BD91" i="8"/>
  <c r="BC91" i="8"/>
  <c r="BB91" i="8"/>
  <c r="BA91" i="8"/>
  <c r="AZ91" i="8"/>
  <c r="AX91" i="8"/>
  <c r="AW91" i="8"/>
  <c r="AV91" i="8"/>
  <c r="AU91" i="8"/>
  <c r="AT91" i="8"/>
  <c r="AS91" i="8"/>
  <c r="BP90" i="8"/>
  <c r="BM90" i="8"/>
  <c r="BL90" i="8"/>
  <c r="BK90" i="8"/>
  <c r="BJ90" i="8"/>
  <c r="BI90" i="8"/>
  <c r="BG90" i="8"/>
  <c r="BF90" i="8"/>
  <c r="BE90" i="8"/>
  <c r="BD90" i="8"/>
  <c r="BC90" i="8"/>
  <c r="BB90" i="8"/>
  <c r="BA90" i="8"/>
  <c r="AZ90" i="8"/>
  <c r="AX90" i="8"/>
  <c r="AW90" i="8"/>
  <c r="AV90" i="8"/>
  <c r="AU90" i="8"/>
  <c r="AT90" i="8"/>
  <c r="AS90" i="8"/>
  <c r="BP89" i="8"/>
  <c r="BM89" i="8"/>
  <c r="BL89" i="8"/>
  <c r="BK89" i="8"/>
  <c r="BJ89" i="8"/>
  <c r="BI89" i="8"/>
  <c r="BG89" i="8"/>
  <c r="BF89" i="8"/>
  <c r="BE89" i="8"/>
  <c r="BD89" i="8"/>
  <c r="BC89" i="8"/>
  <c r="BB89" i="8"/>
  <c r="BA89" i="8"/>
  <c r="AZ89" i="8"/>
  <c r="AX89" i="8"/>
  <c r="AW89" i="8"/>
  <c r="AV89" i="8"/>
  <c r="AU89" i="8"/>
  <c r="AT89" i="8"/>
  <c r="AS89" i="8"/>
  <c r="BP88" i="8"/>
  <c r="BM88" i="8"/>
  <c r="BL88" i="8"/>
  <c r="BK88" i="8"/>
  <c r="BJ88" i="8"/>
  <c r="BI88" i="8"/>
  <c r="BG88" i="8"/>
  <c r="BF88" i="8"/>
  <c r="BE88" i="8"/>
  <c r="BD88" i="8"/>
  <c r="BC88" i="8"/>
  <c r="BB88" i="8"/>
  <c r="BA88" i="8"/>
  <c r="AZ88" i="8"/>
  <c r="AX88" i="8"/>
  <c r="AW88" i="8"/>
  <c r="AV88" i="8"/>
  <c r="AU88" i="8"/>
  <c r="AT88" i="8"/>
  <c r="AS88" i="8"/>
  <c r="BP87" i="8"/>
  <c r="BM87" i="8"/>
  <c r="BL87" i="8"/>
  <c r="BK87" i="8"/>
  <c r="BJ87" i="8"/>
  <c r="BI87" i="8"/>
  <c r="BG87" i="8"/>
  <c r="BF87" i="8"/>
  <c r="BE87" i="8"/>
  <c r="BD87" i="8"/>
  <c r="BC87" i="8"/>
  <c r="BB87" i="8"/>
  <c r="BA87" i="8"/>
  <c r="AZ87" i="8"/>
  <c r="AX87" i="8"/>
  <c r="AW87" i="8"/>
  <c r="AV87" i="8"/>
  <c r="AU87" i="8"/>
  <c r="AT87" i="8"/>
  <c r="AS87" i="8"/>
  <c r="BP86" i="8"/>
  <c r="BM86" i="8"/>
  <c r="BL86" i="8"/>
  <c r="BK86" i="8"/>
  <c r="BJ86" i="8"/>
  <c r="BI86" i="8"/>
  <c r="BG86" i="8"/>
  <c r="BF86" i="8"/>
  <c r="BE86" i="8"/>
  <c r="BD86" i="8"/>
  <c r="BC86" i="8"/>
  <c r="BB86" i="8"/>
  <c r="BA86" i="8"/>
  <c r="AZ86" i="8"/>
  <c r="AX86" i="8"/>
  <c r="AW86" i="8"/>
  <c r="AV86" i="8"/>
  <c r="AU86" i="8"/>
  <c r="AT86" i="8"/>
  <c r="AS86" i="8"/>
  <c r="BP85" i="8"/>
  <c r="BM85" i="8"/>
  <c r="BL85" i="8"/>
  <c r="BK85" i="8"/>
  <c r="BJ85" i="8"/>
  <c r="BI85" i="8"/>
  <c r="BG85" i="8"/>
  <c r="BF85" i="8"/>
  <c r="BE85" i="8"/>
  <c r="BD85" i="8"/>
  <c r="BC85" i="8"/>
  <c r="BB85" i="8"/>
  <c r="BA85" i="8"/>
  <c r="AZ85" i="8"/>
  <c r="AX85" i="8"/>
  <c r="AW85" i="8"/>
  <c r="AV85" i="8"/>
  <c r="AU85" i="8"/>
  <c r="AT85" i="8"/>
  <c r="AS85" i="8"/>
  <c r="BP84" i="8"/>
  <c r="BM84" i="8"/>
  <c r="BL84" i="8"/>
  <c r="BK84" i="8"/>
  <c r="BJ84" i="8"/>
  <c r="BI84" i="8"/>
  <c r="BG84" i="8"/>
  <c r="BF84" i="8"/>
  <c r="BE84" i="8"/>
  <c r="BD84" i="8"/>
  <c r="BC84" i="8"/>
  <c r="BB84" i="8"/>
  <c r="BA84" i="8"/>
  <c r="AZ84" i="8"/>
  <c r="AX84" i="8"/>
  <c r="AW84" i="8"/>
  <c r="AV84" i="8"/>
  <c r="AU84" i="8"/>
  <c r="AT84" i="8"/>
  <c r="AS84" i="8"/>
  <c r="BP83" i="8"/>
  <c r="BM83" i="8"/>
  <c r="BL83" i="8"/>
  <c r="BK83" i="8"/>
  <c r="BJ83" i="8"/>
  <c r="BI83" i="8"/>
  <c r="BG83" i="8"/>
  <c r="BF83" i="8"/>
  <c r="BE83" i="8"/>
  <c r="BD83" i="8"/>
  <c r="BC83" i="8"/>
  <c r="BB83" i="8"/>
  <c r="BA83" i="8"/>
  <c r="AZ83" i="8"/>
  <c r="AX83" i="8"/>
  <c r="AW83" i="8"/>
  <c r="AV83" i="8"/>
  <c r="AU83" i="8"/>
  <c r="AT83" i="8"/>
  <c r="AS83" i="8"/>
  <c r="BP82" i="8"/>
  <c r="BM82" i="8"/>
  <c r="BL82" i="8"/>
  <c r="BK82" i="8"/>
  <c r="BJ82" i="8"/>
  <c r="BI82" i="8"/>
  <c r="BG82" i="8"/>
  <c r="BF82" i="8"/>
  <c r="BE82" i="8"/>
  <c r="BD82" i="8"/>
  <c r="BC82" i="8"/>
  <c r="BB82" i="8"/>
  <c r="BA82" i="8"/>
  <c r="AZ82" i="8"/>
  <c r="AX82" i="8"/>
  <c r="AW82" i="8"/>
  <c r="AV82" i="8"/>
  <c r="AU82" i="8"/>
  <c r="AT82" i="8"/>
  <c r="AS82" i="8"/>
  <c r="BP81" i="8"/>
  <c r="BM81" i="8"/>
  <c r="BL81" i="8"/>
  <c r="BK81" i="8"/>
  <c r="BJ81" i="8"/>
  <c r="BI81" i="8"/>
  <c r="BG81" i="8"/>
  <c r="BF81" i="8"/>
  <c r="BE81" i="8"/>
  <c r="BD81" i="8"/>
  <c r="BC81" i="8"/>
  <c r="BB81" i="8"/>
  <c r="BA81" i="8"/>
  <c r="AZ81" i="8"/>
  <c r="AX81" i="8"/>
  <c r="AW81" i="8"/>
  <c r="AV81" i="8"/>
  <c r="AU81" i="8"/>
  <c r="AT81" i="8"/>
  <c r="AS81" i="8"/>
  <c r="BP80" i="8"/>
  <c r="BM80" i="8"/>
  <c r="BL80" i="8"/>
  <c r="BK80" i="8"/>
  <c r="BJ80" i="8"/>
  <c r="BI80" i="8"/>
  <c r="BG80" i="8"/>
  <c r="BF80" i="8"/>
  <c r="BE80" i="8"/>
  <c r="BD80" i="8"/>
  <c r="BC80" i="8"/>
  <c r="BB80" i="8"/>
  <c r="BA80" i="8"/>
  <c r="AZ80" i="8"/>
  <c r="AX80" i="8"/>
  <c r="AW80" i="8"/>
  <c r="AV80" i="8"/>
  <c r="AU80" i="8"/>
  <c r="AT80" i="8"/>
  <c r="AS80" i="8"/>
  <c r="BP79" i="8"/>
  <c r="BM79" i="8"/>
  <c r="BL79" i="8"/>
  <c r="BK79" i="8"/>
  <c r="BJ79" i="8"/>
  <c r="BI79" i="8"/>
  <c r="BG79" i="8"/>
  <c r="BF79" i="8"/>
  <c r="BE79" i="8"/>
  <c r="BD79" i="8"/>
  <c r="BC79" i="8"/>
  <c r="BB79" i="8"/>
  <c r="BA79" i="8"/>
  <c r="AZ79" i="8"/>
  <c r="AX79" i="8"/>
  <c r="AW79" i="8"/>
  <c r="AV79" i="8"/>
  <c r="AU79" i="8"/>
  <c r="AT79" i="8"/>
  <c r="AS79" i="8"/>
  <c r="BP78" i="8"/>
  <c r="BM78" i="8"/>
  <c r="BL78" i="8"/>
  <c r="BK78" i="8"/>
  <c r="BJ78" i="8"/>
  <c r="BI78" i="8"/>
  <c r="BG78" i="8"/>
  <c r="BF78" i="8"/>
  <c r="BE78" i="8"/>
  <c r="BD78" i="8"/>
  <c r="BC78" i="8"/>
  <c r="BB78" i="8"/>
  <c r="BA78" i="8"/>
  <c r="AZ78" i="8"/>
  <c r="AX78" i="8"/>
  <c r="AW78" i="8"/>
  <c r="AV78" i="8"/>
  <c r="AU78" i="8"/>
  <c r="AT78" i="8"/>
  <c r="AS78" i="8"/>
  <c r="BP77" i="8"/>
  <c r="BM77" i="8"/>
  <c r="BL77" i="8"/>
  <c r="BK77" i="8"/>
  <c r="BJ77" i="8"/>
  <c r="BI77" i="8"/>
  <c r="BG77" i="8"/>
  <c r="BF77" i="8"/>
  <c r="BE77" i="8"/>
  <c r="BD77" i="8"/>
  <c r="BC77" i="8"/>
  <c r="BB77" i="8"/>
  <c r="BA77" i="8"/>
  <c r="AZ77" i="8"/>
  <c r="AX77" i="8"/>
  <c r="AW77" i="8"/>
  <c r="AV77" i="8"/>
  <c r="AU77" i="8"/>
  <c r="AT77" i="8"/>
  <c r="AS77" i="8"/>
  <c r="BP76" i="8"/>
  <c r="BM76" i="8"/>
  <c r="BL76" i="8"/>
  <c r="BK76" i="8"/>
  <c r="BJ76" i="8"/>
  <c r="BI76" i="8"/>
  <c r="BG76" i="8"/>
  <c r="BF76" i="8"/>
  <c r="BE76" i="8"/>
  <c r="BD76" i="8"/>
  <c r="BC76" i="8"/>
  <c r="BB76" i="8"/>
  <c r="BA76" i="8"/>
  <c r="AZ76" i="8"/>
  <c r="AX76" i="8"/>
  <c r="AW76" i="8"/>
  <c r="AV76" i="8"/>
  <c r="AU76" i="8"/>
  <c r="AT76" i="8"/>
  <c r="AS76" i="8"/>
  <c r="BP75" i="8"/>
  <c r="BM75" i="8"/>
  <c r="BL75" i="8"/>
  <c r="BK75" i="8"/>
  <c r="BJ75" i="8"/>
  <c r="BI75" i="8"/>
  <c r="BG75" i="8"/>
  <c r="BF75" i="8"/>
  <c r="BE75" i="8"/>
  <c r="BD75" i="8"/>
  <c r="BC75" i="8"/>
  <c r="BB75" i="8"/>
  <c r="BA75" i="8"/>
  <c r="AZ75" i="8"/>
  <c r="AX75" i="8"/>
  <c r="AW75" i="8"/>
  <c r="AV75" i="8"/>
  <c r="AU75" i="8"/>
  <c r="AT75" i="8"/>
  <c r="AS75" i="8"/>
  <c r="BP74" i="8"/>
  <c r="BM74" i="8"/>
  <c r="BL74" i="8"/>
  <c r="BK74" i="8"/>
  <c r="BJ74" i="8"/>
  <c r="BI74" i="8"/>
  <c r="BG74" i="8"/>
  <c r="BF74" i="8"/>
  <c r="BE74" i="8"/>
  <c r="BD74" i="8"/>
  <c r="BC74" i="8"/>
  <c r="BB74" i="8"/>
  <c r="BA74" i="8"/>
  <c r="AZ74" i="8"/>
  <c r="AX74" i="8"/>
  <c r="AW74" i="8"/>
  <c r="AV74" i="8"/>
  <c r="AU74" i="8"/>
  <c r="AT74" i="8"/>
  <c r="AS74" i="8"/>
  <c r="BP73" i="8"/>
  <c r="BM73" i="8"/>
  <c r="BL73" i="8"/>
  <c r="BK73" i="8"/>
  <c r="BJ73" i="8"/>
  <c r="BI73" i="8"/>
  <c r="BG73" i="8"/>
  <c r="BF73" i="8"/>
  <c r="BE73" i="8"/>
  <c r="BD73" i="8"/>
  <c r="BC73" i="8"/>
  <c r="BB73" i="8"/>
  <c r="BA73" i="8"/>
  <c r="AZ73" i="8"/>
  <c r="AX73" i="8"/>
  <c r="AW73" i="8"/>
  <c r="AV73" i="8"/>
  <c r="AU73" i="8"/>
  <c r="AT73" i="8"/>
  <c r="AS73" i="8"/>
  <c r="BP72" i="8"/>
  <c r="BM72" i="8"/>
  <c r="BL72" i="8"/>
  <c r="BK72" i="8"/>
  <c r="BJ72" i="8"/>
  <c r="BI72" i="8"/>
  <c r="BG72" i="8"/>
  <c r="BF72" i="8"/>
  <c r="BE72" i="8"/>
  <c r="BD72" i="8"/>
  <c r="BC72" i="8"/>
  <c r="BB72" i="8"/>
  <c r="BA72" i="8"/>
  <c r="AZ72" i="8"/>
  <c r="AX72" i="8"/>
  <c r="AW72" i="8"/>
  <c r="AV72" i="8"/>
  <c r="AU72" i="8"/>
  <c r="AT72" i="8"/>
  <c r="AS72" i="8"/>
  <c r="BP71" i="8"/>
  <c r="BM71" i="8"/>
  <c r="BL71" i="8"/>
  <c r="BK71" i="8"/>
  <c r="BJ71" i="8"/>
  <c r="BI71" i="8"/>
  <c r="BG71" i="8"/>
  <c r="BF71" i="8"/>
  <c r="BE71" i="8"/>
  <c r="BD71" i="8"/>
  <c r="BC71" i="8"/>
  <c r="BB71" i="8"/>
  <c r="BA71" i="8"/>
  <c r="AZ71" i="8"/>
  <c r="AX71" i="8"/>
  <c r="AW71" i="8"/>
  <c r="AV71" i="8"/>
  <c r="AU71" i="8"/>
  <c r="AT71" i="8"/>
  <c r="AS71" i="8"/>
  <c r="BP70" i="8"/>
  <c r="BM70" i="8"/>
  <c r="BL70" i="8"/>
  <c r="BK70" i="8"/>
  <c r="BJ70" i="8"/>
  <c r="BI70" i="8"/>
  <c r="BG70" i="8"/>
  <c r="BF70" i="8"/>
  <c r="BE70" i="8"/>
  <c r="BD70" i="8"/>
  <c r="BC70" i="8"/>
  <c r="BB70" i="8"/>
  <c r="BA70" i="8"/>
  <c r="AZ70" i="8"/>
  <c r="AX70" i="8"/>
  <c r="AW70" i="8"/>
  <c r="AV70" i="8"/>
  <c r="AU70" i="8"/>
  <c r="AT70" i="8"/>
  <c r="AS70" i="8"/>
  <c r="BP69" i="8"/>
  <c r="BM69" i="8"/>
  <c r="BL69" i="8"/>
  <c r="BK69" i="8"/>
  <c r="BJ69" i="8"/>
  <c r="BI69" i="8"/>
  <c r="BG69" i="8"/>
  <c r="BF69" i="8"/>
  <c r="BE69" i="8"/>
  <c r="BD69" i="8"/>
  <c r="BC69" i="8"/>
  <c r="BB69" i="8"/>
  <c r="BA69" i="8"/>
  <c r="AZ69" i="8"/>
  <c r="AX69" i="8"/>
  <c r="AW69" i="8"/>
  <c r="AV69" i="8"/>
  <c r="AU69" i="8"/>
  <c r="AT69" i="8"/>
  <c r="AS69" i="8"/>
  <c r="BP68" i="8"/>
  <c r="BM68" i="8"/>
  <c r="BL68" i="8"/>
  <c r="BK68" i="8"/>
  <c r="BJ68" i="8"/>
  <c r="BI68" i="8"/>
  <c r="BG68" i="8"/>
  <c r="BF68" i="8"/>
  <c r="BE68" i="8"/>
  <c r="BD68" i="8"/>
  <c r="BC68" i="8"/>
  <c r="BB68" i="8"/>
  <c r="BA68" i="8"/>
  <c r="AZ68" i="8"/>
  <c r="AX68" i="8"/>
  <c r="AW68" i="8"/>
  <c r="AV68" i="8"/>
  <c r="AU68" i="8"/>
  <c r="AT68" i="8"/>
  <c r="AS68" i="8"/>
  <c r="BP67" i="8"/>
  <c r="BM67" i="8"/>
  <c r="BL67" i="8"/>
  <c r="BK67" i="8"/>
  <c r="BJ67" i="8"/>
  <c r="BI67" i="8"/>
  <c r="BG67" i="8"/>
  <c r="BF67" i="8"/>
  <c r="BE67" i="8"/>
  <c r="BD67" i="8"/>
  <c r="BC67" i="8"/>
  <c r="BB67" i="8"/>
  <c r="BA67" i="8"/>
  <c r="AZ67" i="8"/>
  <c r="AX67" i="8"/>
  <c r="AW67" i="8"/>
  <c r="AV67" i="8"/>
  <c r="AU67" i="8"/>
  <c r="AT67" i="8"/>
  <c r="AS67" i="8"/>
  <c r="BP66" i="8"/>
  <c r="BM66" i="8"/>
  <c r="BL66" i="8"/>
  <c r="BK66" i="8"/>
  <c r="BJ66" i="8"/>
  <c r="BI66" i="8"/>
  <c r="BG66" i="8"/>
  <c r="BF66" i="8"/>
  <c r="BE66" i="8"/>
  <c r="BD66" i="8"/>
  <c r="BC66" i="8"/>
  <c r="BB66" i="8"/>
  <c r="BA66" i="8"/>
  <c r="AZ66" i="8"/>
  <c r="AX66" i="8"/>
  <c r="AW66" i="8"/>
  <c r="AV66" i="8"/>
  <c r="AU66" i="8"/>
  <c r="AT66" i="8"/>
  <c r="AS66" i="8"/>
  <c r="BP65" i="8"/>
  <c r="BM65" i="8"/>
  <c r="BL65" i="8"/>
  <c r="BK65" i="8"/>
  <c r="BJ65" i="8"/>
  <c r="BI65" i="8"/>
  <c r="BG65" i="8"/>
  <c r="BF65" i="8"/>
  <c r="BE65" i="8"/>
  <c r="BD65" i="8"/>
  <c r="BC65" i="8"/>
  <c r="BB65" i="8"/>
  <c r="BA65" i="8"/>
  <c r="AZ65" i="8"/>
  <c r="AX65" i="8"/>
  <c r="AW65" i="8"/>
  <c r="AV65" i="8"/>
  <c r="AU65" i="8"/>
  <c r="AT65" i="8"/>
  <c r="AS65" i="8"/>
  <c r="BP64" i="8"/>
  <c r="BM64" i="8"/>
  <c r="BL64" i="8"/>
  <c r="BK64" i="8"/>
  <c r="BJ64" i="8"/>
  <c r="BI64" i="8"/>
  <c r="BG64" i="8"/>
  <c r="BF64" i="8"/>
  <c r="BE64" i="8"/>
  <c r="BD64" i="8"/>
  <c r="BC64" i="8"/>
  <c r="BB64" i="8"/>
  <c r="BA64" i="8"/>
  <c r="AZ64" i="8"/>
  <c r="AX64" i="8"/>
  <c r="AW64" i="8"/>
  <c r="AV64" i="8"/>
  <c r="AU64" i="8"/>
  <c r="AT64" i="8"/>
  <c r="AS64" i="8"/>
  <c r="BP63" i="8"/>
  <c r="BM63" i="8"/>
  <c r="BL63" i="8"/>
  <c r="BK63" i="8"/>
  <c r="BJ63" i="8"/>
  <c r="BI63" i="8"/>
  <c r="BG63" i="8"/>
  <c r="BF63" i="8"/>
  <c r="BE63" i="8"/>
  <c r="BD63" i="8"/>
  <c r="BC63" i="8"/>
  <c r="BB63" i="8"/>
  <c r="BA63" i="8"/>
  <c r="AZ63" i="8"/>
  <c r="AX63" i="8"/>
  <c r="AW63" i="8"/>
  <c r="AV63" i="8"/>
  <c r="AU63" i="8"/>
  <c r="AT63" i="8"/>
  <c r="AS63" i="8"/>
  <c r="BP62" i="8"/>
  <c r="BM62" i="8"/>
  <c r="BL62" i="8"/>
  <c r="BK62" i="8"/>
  <c r="BJ62" i="8"/>
  <c r="BI62" i="8"/>
  <c r="BG62" i="8"/>
  <c r="BF62" i="8"/>
  <c r="BE62" i="8"/>
  <c r="BD62" i="8"/>
  <c r="BC62" i="8"/>
  <c r="BB62" i="8"/>
  <c r="BA62" i="8"/>
  <c r="AZ62" i="8"/>
  <c r="AX62" i="8"/>
  <c r="AW62" i="8"/>
  <c r="AV62" i="8"/>
  <c r="AU62" i="8"/>
  <c r="AT62" i="8"/>
  <c r="AS62" i="8"/>
  <c r="BP61" i="8"/>
  <c r="BM61" i="8"/>
  <c r="BL61" i="8"/>
  <c r="BK61" i="8"/>
  <c r="BJ61" i="8"/>
  <c r="BI61" i="8"/>
  <c r="BG61" i="8"/>
  <c r="BF61" i="8"/>
  <c r="BE61" i="8"/>
  <c r="BD61" i="8"/>
  <c r="BC61" i="8"/>
  <c r="BB61" i="8"/>
  <c r="BA61" i="8"/>
  <c r="AZ61" i="8"/>
  <c r="AX61" i="8"/>
  <c r="AW61" i="8"/>
  <c r="AV61" i="8"/>
  <c r="AU61" i="8"/>
  <c r="AT61" i="8"/>
  <c r="AS61" i="8"/>
  <c r="BP60" i="8"/>
  <c r="BM60" i="8"/>
  <c r="BL60" i="8"/>
  <c r="BK60" i="8"/>
  <c r="BJ60" i="8"/>
  <c r="BI60" i="8"/>
  <c r="BG60" i="8"/>
  <c r="BF60" i="8"/>
  <c r="BE60" i="8"/>
  <c r="BD60" i="8"/>
  <c r="BC60" i="8"/>
  <c r="BB60" i="8"/>
  <c r="BA60" i="8"/>
  <c r="AZ60" i="8"/>
  <c r="AX60" i="8"/>
  <c r="AW60" i="8"/>
  <c r="AV60" i="8"/>
  <c r="AU60" i="8"/>
  <c r="AT60" i="8"/>
  <c r="AS60" i="8"/>
  <c r="BP59" i="8"/>
  <c r="BM59" i="8"/>
  <c r="BL59" i="8"/>
  <c r="BK59" i="8"/>
  <c r="BJ59" i="8"/>
  <c r="BI59" i="8"/>
  <c r="BG59" i="8"/>
  <c r="BF59" i="8"/>
  <c r="BE59" i="8"/>
  <c r="BD59" i="8"/>
  <c r="BC59" i="8"/>
  <c r="BB59" i="8"/>
  <c r="BA59" i="8"/>
  <c r="AZ59" i="8"/>
  <c r="AX59" i="8"/>
  <c r="AW59" i="8"/>
  <c r="AV59" i="8"/>
  <c r="AU59" i="8"/>
  <c r="AT59" i="8"/>
  <c r="AS59" i="8"/>
  <c r="BP58" i="8"/>
  <c r="BM58" i="8"/>
  <c r="BL58" i="8"/>
  <c r="BK58" i="8"/>
  <c r="BJ58" i="8"/>
  <c r="BI58" i="8"/>
  <c r="BG58" i="8"/>
  <c r="BF58" i="8"/>
  <c r="BE58" i="8"/>
  <c r="BD58" i="8"/>
  <c r="BC58" i="8"/>
  <c r="BB58" i="8"/>
  <c r="BA58" i="8"/>
  <c r="AZ58" i="8"/>
  <c r="AX58" i="8"/>
  <c r="AW58" i="8"/>
  <c r="AV58" i="8"/>
  <c r="AU58" i="8"/>
  <c r="AT58" i="8"/>
  <c r="AS58" i="8"/>
  <c r="BP57" i="8"/>
  <c r="BM57" i="8"/>
  <c r="BL57" i="8"/>
  <c r="BK57" i="8"/>
  <c r="BJ57" i="8"/>
  <c r="BI57" i="8"/>
  <c r="BG57" i="8"/>
  <c r="BF57" i="8"/>
  <c r="BE57" i="8"/>
  <c r="BD57" i="8"/>
  <c r="BC57" i="8"/>
  <c r="BB57" i="8"/>
  <c r="BA57" i="8"/>
  <c r="AZ57" i="8"/>
  <c r="AX57" i="8"/>
  <c r="AW57" i="8"/>
  <c r="AV57" i="8"/>
  <c r="AU57" i="8"/>
  <c r="AT57" i="8"/>
  <c r="AS57" i="8"/>
  <c r="BP56" i="8"/>
  <c r="BM56" i="8"/>
  <c r="BL56" i="8"/>
  <c r="BK56" i="8"/>
  <c r="BJ56" i="8"/>
  <c r="BI56" i="8"/>
  <c r="BG56" i="8"/>
  <c r="BF56" i="8"/>
  <c r="BE56" i="8"/>
  <c r="BD56" i="8"/>
  <c r="BC56" i="8"/>
  <c r="BB56" i="8"/>
  <c r="BA56" i="8"/>
  <c r="AZ56" i="8"/>
  <c r="AX56" i="8"/>
  <c r="AW56" i="8"/>
  <c r="AV56" i="8"/>
  <c r="AU56" i="8"/>
  <c r="AT56" i="8"/>
  <c r="AS56" i="8"/>
  <c r="BP55" i="8"/>
  <c r="BM55" i="8"/>
  <c r="BL55" i="8"/>
  <c r="BK55" i="8"/>
  <c r="BJ55" i="8"/>
  <c r="BI55" i="8"/>
  <c r="BG55" i="8"/>
  <c r="BF55" i="8"/>
  <c r="BE55" i="8"/>
  <c r="BD55" i="8"/>
  <c r="BC55" i="8"/>
  <c r="BB55" i="8"/>
  <c r="BA55" i="8"/>
  <c r="AZ55" i="8"/>
  <c r="AX55" i="8"/>
  <c r="AW55" i="8"/>
  <c r="AV55" i="8"/>
  <c r="AU55" i="8"/>
  <c r="AT55" i="8"/>
  <c r="AS55" i="8"/>
  <c r="BP54" i="8"/>
  <c r="BM54" i="8"/>
  <c r="BL54" i="8"/>
  <c r="BK54" i="8"/>
  <c r="BJ54" i="8"/>
  <c r="BI54" i="8"/>
  <c r="BG54" i="8"/>
  <c r="BF54" i="8"/>
  <c r="BE54" i="8"/>
  <c r="BD54" i="8"/>
  <c r="BC54" i="8"/>
  <c r="BB54" i="8"/>
  <c r="BA54" i="8"/>
  <c r="AZ54" i="8"/>
  <c r="AX54" i="8"/>
  <c r="AW54" i="8"/>
  <c r="AV54" i="8"/>
  <c r="AU54" i="8"/>
  <c r="AT54" i="8"/>
  <c r="AS54" i="8"/>
  <c r="BP53" i="8"/>
  <c r="BM53" i="8"/>
  <c r="BL53" i="8"/>
  <c r="BK53" i="8"/>
  <c r="BJ53" i="8"/>
  <c r="BI53" i="8"/>
  <c r="BG53" i="8"/>
  <c r="BF53" i="8"/>
  <c r="BE53" i="8"/>
  <c r="BD53" i="8"/>
  <c r="BC53" i="8"/>
  <c r="BB53" i="8"/>
  <c r="BA53" i="8"/>
  <c r="AZ53" i="8"/>
  <c r="AX53" i="8"/>
  <c r="AW53" i="8"/>
  <c r="AV53" i="8"/>
  <c r="AU53" i="8"/>
  <c r="AT53" i="8"/>
  <c r="AS53" i="8"/>
  <c r="BP52" i="8"/>
  <c r="BM52" i="8"/>
  <c r="BL52" i="8"/>
  <c r="BK52" i="8"/>
  <c r="BJ52" i="8"/>
  <c r="BI52" i="8"/>
  <c r="BG52" i="8"/>
  <c r="BF52" i="8"/>
  <c r="BE52" i="8"/>
  <c r="BD52" i="8"/>
  <c r="BC52" i="8"/>
  <c r="BB52" i="8"/>
  <c r="BA52" i="8"/>
  <c r="AZ52" i="8"/>
  <c r="AX52" i="8"/>
  <c r="AW52" i="8"/>
  <c r="AV52" i="8"/>
  <c r="AU52" i="8"/>
  <c r="AT52" i="8"/>
  <c r="AS52" i="8"/>
  <c r="BP51" i="8"/>
  <c r="BM51" i="8"/>
  <c r="BL51" i="8"/>
  <c r="BK51" i="8"/>
  <c r="BJ51" i="8"/>
  <c r="BI51" i="8"/>
  <c r="BG51" i="8"/>
  <c r="BF51" i="8"/>
  <c r="BE51" i="8"/>
  <c r="BD51" i="8"/>
  <c r="BC51" i="8"/>
  <c r="BB51" i="8"/>
  <c r="BA51" i="8"/>
  <c r="AZ51" i="8"/>
  <c r="AX51" i="8"/>
  <c r="AW51" i="8"/>
  <c r="AV51" i="8"/>
  <c r="AU51" i="8"/>
  <c r="AT51" i="8"/>
  <c r="AS51" i="8"/>
  <c r="BP50" i="8"/>
  <c r="BM50" i="8"/>
  <c r="BL50" i="8"/>
  <c r="BK50" i="8"/>
  <c r="BJ50" i="8"/>
  <c r="BI50" i="8"/>
  <c r="BG50" i="8"/>
  <c r="BF50" i="8"/>
  <c r="BE50" i="8"/>
  <c r="BD50" i="8"/>
  <c r="BC50" i="8"/>
  <c r="BB50" i="8"/>
  <c r="BA50" i="8"/>
  <c r="AZ50" i="8"/>
  <c r="AX50" i="8"/>
  <c r="AW50" i="8"/>
  <c r="AV50" i="8"/>
  <c r="AU50" i="8"/>
  <c r="AT50" i="8"/>
  <c r="AS50" i="8"/>
  <c r="BP49" i="8"/>
  <c r="BM49" i="8"/>
  <c r="BL49" i="8"/>
  <c r="BK49" i="8"/>
  <c r="BJ49" i="8"/>
  <c r="BI49" i="8"/>
  <c r="BG49" i="8"/>
  <c r="BF49" i="8"/>
  <c r="BE49" i="8"/>
  <c r="BD49" i="8"/>
  <c r="BC49" i="8"/>
  <c r="BB49" i="8"/>
  <c r="BA49" i="8"/>
  <c r="AZ49" i="8"/>
  <c r="AX49" i="8"/>
  <c r="AW49" i="8"/>
  <c r="AV49" i="8"/>
  <c r="AU49" i="8"/>
  <c r="AT49" i="8"/>
  <c r="AS49" i="8"/>
  <c r="BP48" i="8"/>
  <c r="BM48" i="8"/>
  <c r="BL48" i="8"/>
  <c r="BK48" i="8"/>
  <c r="BJ48" i="8"/>
  <c r="BI48" i="8"/>
  <c r="BG48" i="8"/>
  <c r="BF48" i="8"/>
  <c r="BE48" i="8"/>
  <c r="BD48" i="8"/>
  <c r="BC48" i="8"/>
  <c r="BB48" i="8"/>
  <c r="BA48" i="8"/>
  <c r="AZ48" i="8"/>
  <c r="AX48" i="8"/>
  <c r="AW48" i="8"/>
  <c r="AV48" i="8"/>
  <c r="AU48" i="8"/>
  <c r="AT48" i="8"/>
  <c r="AS48" i="8"/>
  <c r="BP47" i="8"/>
  <c r="BM47" i="8"/>
  <c r="BL47" i="8"/>
  <c r="BK47" i="8"/>
  <c r="BJ47" i="8"/>
  <c r="BI47" i="8"/>
  <c r="BG47" i="8"/>
  <c r="BF47" i="8"/>
  <c r="BE47" i="8"/>
  <c r="BD47" i="8"/>
  <c r="BC47" i="8"/>
  <c r="BB47" i="8"/>
  <c r="BA47" i="8"/>
  <c r="AZ47" i="8"/>
  <c r="AX47" i="8"/>
  <c r="AW47" i="8"/>
  <c r="AV47" i="8"/>
  <c r="AU47" i="8"/>
  <c r="AT47" i="8"/>
  <c r="AS47" i="8"/>
  <c r="BP46" i="8"/>
  <c r="BM46" i="8"/>
  <c r="BL46" i="8"/>
  <c r="BK46" i="8"/>
  <c r="BJ46" i="8"/>
  <c r="BI46" i="8"/>
  <c r="BG46" i="8"/>
  <c r="BF46" i="8"/>
  <c r="BE46" i="8"/>
  <c r="BD46" i="8"/>
  <c r="BC46" i="8"/>
  <c r="BB46" i="8"/>
  <c r="BA46" i="8"/>
  <c r="AZ46" i="8"/>
  <c r="AX46" i="8"/>
  <c r="AW46" i="8"/>
  <c r="AV46" i="8"/>
  <c r="AU46" i="8"/>
  <c r="AT46" i="8"/>
  <c r="AS46" i="8"/>
  <c r="BP45" i="8"/>
  <c r="BM45" i="8"/>
  <c r="BL45" i="8"/>
  <c r="BK45" i="8"/>
  <c r="BJ45" i="8"/>
  <c r="BI45" i="8"/>
  <c r="BG45" i="8"/>
  <c r="BF45" i="8"/>
  <c r="BE45" i="8"/>
  <c r="BD45" i="8"/>
  <c r="BC45" i="8"/>
  <c r="BB45" i="8"/>
  <c r="BA45" i="8"/>
  <c r="AZ45" i="8"/>
  <c r="AX45" i="8"/>
  <c r="AW45" i="8"/>
  <c r="AV45" i="8"/>
  <c r="AU45" i="8"/>
  <c r="AT45" i="8"/>
  <c r="AS45" i="8"/>
  <c r="BP44" i="8"/>
  <c r="BM44" i="8"/>
  <c r="BL44" i="8"/>
  <c r="BK44" i="8"/>
  <c r="BJ44" i="8"/>
  <c r="BI44" i="8"/>
  <c r="BG44" i="8"/>
  <c r="BF44" i="8"/>
  <c r="BE44" i="8"/>
  <c r="BD44" i="8"/>
  <c r="BC44" i="8"/>
  <c r="BB44" i="8"/>
  <c r="BA44" i="8"/>
  <c r="AZ44" i="8"/>
  <c r="AX44" i="8"/>
  <c r="AW44" i="8"/>
  <c r="AV44" i="8"/>
  <c r="AU44" i="8"/>
  <c r="AT44" i="8"/>
  <c r="AS44" i="8"/>
  <c r="BP43" i="8"/>
  <c r="BM43" i="8"/>
  <c r="BL43" i="8"/>
  <c r="BK43" i="8"/>
  <c r="BJ43" i="8"/>
  <c r="BI43" i="8"/>
  <c r="BG43" i="8"/>
  <c r="BF43" i="8"/>
  <c r="BE43" i="8"/>
  <c r="BD43" i="8"/>
  <c r="BC43" i="8"/>
  <c r="BB43" i="8"/>
  <c r="BA43" i="8"/>
  <c r="AZ43" i="8"/>
  <c r="AX43" i="8"/>
  <c r="AW43" i="8"/>
  <c r="AV43" i="8"/>
  <c r="AU43" i="8"/>
  <c r="AT43" i="8"/>
  <c r="AS43" i="8"/>
  <c r="BP42" i="8"/>
  <c r="BM42" i="8"/>
  <c r="BL42" i="8"/>
  <c r="BK42" i="8"/>
  <c r="BJ42" i="8"/>
  <c r="BI42" i="8"/>
  <c r="BG42" i="8"/>
  <c r="BF42" i="8"/>
  <c r="BE42" i="8"/>
  <c r="BD42" i="8"/>
  <c r="BC42" i="8"/>
  <c r="BB42" i="8"/>
  <c r="BA42" i="8"/>
  <c r="AZ42" i="8"/>
  <c r="AX42" i="8"/>
  <c r="AW42" i="8"/>
  <c r="AV42" i="8"/>
  <c r="AU42" i="8"/>
  <c r="AT42" i="8"/>
  <c r="AS42" i="8"/>
  <c r="BP41" i="8"/>
  <c r="BM41" i="8"/>
  <c r="BL41" i="8"/>
  <c r="BK41" i="8"/>
  <c r="BJ41" i="8"/>
  <c r="BI41" i="8"/>
  <c r="BG41" i="8"/>
  <c r="BF41" i="8"/>
  <c r="BE41" i="8"/>
  <c r="BD41" i="8"/>
  <c r="BC41" i="8"/>
  <c r="BB41" i="8"/>
  <c r="BA41" i="8"/>
  <c r="AZ41" i="8"/>
  <c r="AX41" i="8"/>
  <c r="AW41" i="8"/>
  <c r="AV41" i="8"/>
  <c r="AU41" i="8"/>
  <c r="AT41" i="8"/>
  <c r="AS41" i="8"/>
  <c r="BP40" i="8"/>
  <c r="BM40" i="8"/>
  <c r="BL40" i="8"/>
  <c r="BK40" i="8"/>
  <c r="BJ40" i="8"/>
  <c r="BI40" i="8"/>
  <c r="BG40" i="8"/>
  <c r="BF40" i="8"/>
  <c r="BE40" i="8"/>
  <c r="BD40" i="8"/>
  <c r="BC40" i="8"/>
  <c r="BB40" i="8"/>
  <c r="BA40" i="8"/>
  <c r="AZ40" i="8"/>
  <c r="AX40" i="8"/>
  <c r="AW40" i="8"/>
  <c r="AV40" i="8"/>
  <c r="AU40" i="8"/>
  <c r="AT40" i="8"/>
  <c r="AS40" i="8"/>
  <c r="BP39" i="8"/>
  <c r="BM39" i="8"/>
  <c r="BL39" i="8"/>
  <c r="BK39" i="8"/>
  <c r="BJ39" i="8"/>
  <c r="BI39" i="8"/>
  <c r="BG39" i="8"/>
  <c r="BF39" i="8"/>
  <c r="BE39" i="8"/>
  <c r="BD39" i="8"/>
  <c r="BC39" i="8"/>
  <c r="BB39" i="8"/>
  <c r="BA39" i="8"/>
  <c r="AZ39" i="8"/>
  <c r="AX39" i="8"/>
  <c r="AW39" i="8"/>
  <c r="AV39" i="8"/>
  <c r="AU39" i="8"/>
  <c r="AT39" i="8"/>
  <c r="AS39" i="8"/>
  <c r="BP38" i="8"/>
  <c r="BM38" i="8"/>
  <c r="BL38" i="8"/>
  <c r="BK38" i="8"/>
  <c r="BJ38" i="8"/>
  <c r="BI38" i="8"/>
  <c r="BG38" i="8"/>
  <c r="BF38" i="8"/>
  <c r="BE38" i="8"/>
  <c r="BD38" i="8"/>
  <c r="BC38" i="8"/>
  <c r="BB38" i="8"/>
  <c r="BA38" i="8"/>
  <c r="AZ38" i="8"/>
  <c r="AX38" i="8"/>
  <c r="AW38" i="8"/>
  <c r="AV38" i="8"/>
  <c r="AU38" i="8"/>
  <c r="AT38" i="8"/>
  <c r="AS38" i="8"/>
  <c r="BP37" i="8"/>
  <c r="BM37" i="8"/>
  <c r="BL37" i="8"/>
  <c r="BK37" i="8"/>
  <c r="BJ37" i="8"/>
  <c r="BI37" i="8"/>
  <c r="BG37" i="8"/>
  <c r="BF37" i="8"/>
  <c r="BE37" i="8"/>
  <c r="BD37" i="8"/>
  <c r="BC37" i="8"/>
  <c r="BB37" i="8"/>
  <c r="BA37" i="8"/>
  <c r="AZ37" i="8"/>
  <c r="AX37" i="8"/>
  <c r="AW37" i="8"/>
  <c r="AV37" i="8"/>
  <c r="AU37" i="8"/>
  <c r="AT37" i="8"/>
  <c r="AS37" i="8"/>
  <c r="BP36" i="8"/>
  <c r="BM36" i="8"/>
  <c r="BL36" i="8"/>
  <c r="BK36" i="8"/>
  <c r="BJ36" i="8"/>
  <c r="BI36" i="8"/>
  <c r="BG36" i="8"/>
  <c r="BF36" i="8"/>
  <c r="BE36" i="8"/>
  <c r="BD36" i="8"/>
  <c r="BC36" i="8"/>
  <c r="BB36" i="8"/>
  <c r="BA36" i="8"/>
  <c r="AZ36" i="8"/>
  <c r="AX36" i="8"/>
  <c r="AW36" i="8"/>
  <c r="AV36" i="8"/>
  <c r="AU36" i="8"/>
  <c r="AT36" i="8"/>
  <c r="AS36" i="8"/>
  <c r="BP35" i="8"/>
  <c r="BM35" i="8"/>
  <c r="BL35" i="8"/>
  <c r="BK35" i="8"/>
  <c r="BJ35" i="8"/>
  <c r="BI35" i="8"/>
  <c r="BG35" i="8"/>
  <c r="BF35" i="8"/>
  <c r="BE35" i="8"/>
  <c r="BD35" i="8"/>
  <c r="BC35" i="8"/>
  <c r="BB35" i="8"/>
  <c r="BA35" i="8"/>
  <c r="AZ35" i="8"/>
  <c r="AX35" i="8"/>
  <c r="AW35" i="8"/>
  <c r="AV35" i="8"/>
  <c r="AU35" i="8"/>
  <c r="AT35" i="8"/>
  <c r="AS35" i="8"/>
  <c r="BP34" i="8"/>
  <c r="BM34" i="8"/>
  <c r="BL34" i="8"/>
  <c r="BK34" i="8"/>
  <c r="BJ34" i="8"/>
  <c r="BI34" i="8"/>
  <c r="BG34" i="8"/>
  <c r="BF34" i="8"/>
  <c r="BE34" i="8"/>
  <c r="BD34" i="8"/>
  <c r="BC34" i="8"/>
  <c r="BB34" i="8"/>
  <c r="BA34" i="8"/>
  <c r="AZ34" i="8"/>
  <c r="AX34" i="8"/>
  <c r="AW34" i="8"/>
  <c r="AV34" i="8"/>
  <c r="AU34" i="8"/>
  <c r="AT34" i="8"/>
  <c r="AS34" i="8"/>
  <c r="BP33" i="8"/>
  <c r="BM33" i="8"/>
  <c r="BL33" i="8"/>
  <c r="BK33" i="8"/>
  <c r="BJ33" i="8"/>
  <c r="BI33" i="8"/>
  <c r="BG33" i="8"/>
  <c r="BF33" i="8"/>
  <c r="BE33" i="8"/>
  <c r="BD33" i="8"/>
  <c r="BC33" i="8"/>
  <c r="BB33" i="8"/>
  <c r="BA33" i="8"/>
  <c r="AZ33" i="8"/>
  <c r="AX33" i="8"/>
  <c r="AW33" i="8"/>
  <c r="AV33" i="8"/>
  <c r="AU33" i="8"/>
  <c r="AT33" i="8"/>
  <c r="AS33" i="8"/>
  <c r="BP32" i="8"/>
  <c r="BM32" i="8"/>
  <c r="BL32" i="8"/>
  <c r="BK32" i="8"/>
  <c r="BJ32" i="8"/>
  <c r="BI32" i="8"/>
  <c r="BG32" i="8"/>
  <c r="BF32" i="8"/>
  <c r="BE32" i="8"/>
  <c r="BD32" i="8"/>
  <c r="BC32" i="8"/>
  <c r="BB32" i="8"/>
  <c r="BA32" i="8"/>
  <c r="AZ32" i="8"/>
  <c r="AX32" i="8"/>
  <c r="AW32" i="8"/>
  <c r="AV32" i="8"/>
  <c r="AU32" i="8"/>
  <c r="AT32" i="8"/>
  <c r="AS32" i="8"/>
  <c r="BP31" i="8"/>
  <c r="BM31" i="8"/>
  <c r="BL31" i="8"/>
  <c r="BK31" i="8"/>
  <c r="BJ31" i="8"/>
  <c r="BI31" i="8"/>
  <c r="BG31" i="8"/>
  <c r="BF31" i="8"/>
  <c r="BE31" i="8"/>
  <c r="BD31" i="8"/>
  <c r="BC31" i="8"/>
  <c r="BB31" i="8"/>
  <c r="BA31" i="8"/>
  <c r="AZ31" i="8"/>
  <c r="AX31" i="8"/>
  <c r="AW31" i="8"/>
  <c r="AV31" i="8"/>
  <c r="AU31" i="8"/>
  <c r="AT31" i="8"/>
  <c r="AS31" i="8"/>
  <c r="BP30" i="8"/>
  <c r="BM30" i="8"/>
  <c r="BL30" i="8"/>
  <c r="BK30" i="8"/>
  <c r="BJ30" i="8"/>
  <c r="BI30" i="8"/>
  <c r="BG30" i="8"/>
  <c r="BF30" i="8"/>
  <c r="BE30" i="8"/>
  <c r="BD30" i="8"/>
  <c r="BC30" i="8"/>
  <c r="BB30" i="8"/>
  <c r="BA30" i="8"/>
  <c r="AZ30" i="8"/>
  <c r="AX30" i="8"/>
  <c r="AW30" i="8"/>
  <c r="AV30" i="8"/>
  <c r="AU30" i="8"/>
  <c r="AT30" i="8"/>
  <c r="AS30" i="8"/>
  <c r="BP29" i="8"/>
  <c r="BM29" i="8"/>
  <c r="BL29" i="8"/>
  <c r="BK29" i="8"/>
  <c r="BJ29" i="8"/>
  <c r="BI29" i="8"/>
  <c r="BG29" i="8"/>
  <c r="BF29" i="8"/>
  <c r="BE29" i="8"/>
  <c r="BD29" i="8"/>
  <c r="BC29" i="8"/>
  <c r="BB29" i="8"/>
  <c r="BA29" i="8"/>
  <c r="AZ29" i="8"/>
  <c r="AX29" i="8"/>
  <c r="AW29" i="8"/>
  <c r="AV29" i="8"/>
  <c r="AU29" i="8"/>
  <c r="AT29" i="8"/>
  <c r="AS29" i="8"/>
  <c r="BP28" i="8"/>
  <c r="BM28" i="8"/>
  <c r="BL28" i="8"/>
  <c r="BK28" i="8"/>
  <c r="BJ28" i="8"/>
  <c r="BI28" i="8"/>
  <c r="BG28" i="8"/>
  <c r="BF28" i="8"/>
  <c r="BE28" i="8"/>
  <c r="BD28" i="8"/>
  <c r="BC28" i="8"/>
  <c r="BB28" i="8"/>
  <c r="BA28" i="8"/>
  <c r="AZ28" i="8"/>
  <c r="AX28" i="8"/>
  <c r="AW28" i="8"/>
  <c r="AV28" i="8"/>
  <c r="AU28" i="8"/>
  <c r="AT28" i="8"/>
  <c r="AS28" i="8"/>
  <c r="BP27" i="8"/>
  <c r="BM27" i="8"/>
  <c r="BL27" i="8"/>
  <c r="BK27" i="8"/>
  <c r="BJ27" i="8"/>
  <c r="BI27" i="8"/>
  <c r="BG27" i="8"/>
  <c r="BF27" i="8"/>
  <c r="BE27" i="8"/>
  <c r="BD27" i="8"/>
  <c r="BC27" i="8"/>
  <c r="BB27" i="8"/>
  <c r="BA27" i="8"/>
  <c r="AZ27" i="8"/>
  <c r="AX27" i="8"/>
  <c r="AW27" i="8"/>
  <c r="AV27" i="8"/>
  <c r="AU27" i="8"/>
  <c r="AT27" i="8"/>
  <c r="AS27" i="8"/>
  <c r="BP26" i="8"/>
  <c r="BM26" i="8"/>
  <c r="BL26" i="8"/>
  <c r="BK26" i="8"/>
  <c r="BJ26" i="8"/>
  <c r="BI26" i="8"/>
  <c r="BG26" i="8"/>
  <c r="BF26" i="8"/>
  <c r="BE26" i="8"/>
  <c r="BD26" i="8"/>
  <c r="BC26" i="8"/>
  <c r="BB26" i="8"/>
  <c r="BA26" i="8"/>
  <c r="AZ26" i="8"/>
  <c r="AX26" i="8"/>
  <c r="AW26" i="8"/>
  <c r="AV26" i="8"/>
  <c r="AU26" i="8"/>
  <c r="AT26" i="8"/>
  <c r="AS26" i="8"/>
  <c r="BP25" i="8"/>
  <c r="BM25" i="8"/>
  <c r="BL25" i="8"/>
  <c r="BK25" i="8"/>
  <c r="BJ25" i="8"/>
  <c r="BI25" i="8"/>
  <c r="BG25" i="8"/>
  <c r="BF25" i="8"/>
  <c r="BE25" i="8"/>
  <c r="BD25" i="8"/>
  <c r="BC25" i="8"/>
  <c r="BB25" i="8"/>
  <c r="BA25" i="8"/>
  <c r="AZ25" i="8"/>
  <c r="AX25" i="8"/>
  <c r="AW25" i="8"/>
  <c r="AV25" i="8"/>
  <c r="AU25" i="8"/>
  <c r="AT25" i="8"/>
  <c r="AS25" i="8"/>
  <c r="BP24" i="8"/>
  <c r="BM24" i="8"/>
  <c r="BL24" i="8"/>
  <c r="BK24" i="8"/>
  <c r="BJ24" i="8"/>
  <c r="BI24" i="8"/>
  <c r="BG24" i="8"/>
  <c r="BF24" i="8"/>
  <c r="BE24" i="8"/>
  <c r="BD24" i="8"/>
  <c r="BC24" i="8"/>
  <c r="BB24" i="8"/>
  <c r="BA24" i="8"/>
  <c r="AZ24" i="8"/>
  <c r="AX24" i="8"/>
  <c r="AW24" i="8"/>
  <c r="AV24" i="8"/>
  <c r="AU24" i="8"/>
  <c r="AT24" i="8"/>
  <c r="AS24" i="8"/>
  <c r="BP23" i="8"/>
  <c r="BM23" i="8"/>
  <c r="BL23" i="8"/>
  <c r="BK23" i="8"/>
  <c r="BJ23" i="8"/>
  <c r="BI23" i="8"/>
  <c r="BG23" i="8"/>
  <c r="BF23" i="8"/>
  <c r="BE23" i="8"/>
  <c r="BD23" i="8"/>
  <c r="BC23" i="8"/>
  <c r="BB23" i="8"/>
  <c r="BA23" i="8"/>
  <c r="AZ23" i="8"/>
  <c r="AX23" i="8"/>
  <c r="AW23" i="8"/>
  <c r="AV23" i="8"/>
  <c r="AU23" i="8"/>
  <c r="AT23" i="8"/>
  <c r="AS23" i="8"/>
  <c r="BP22" i="8"/>
  <c r="BM22" i="8"/>
  <c r="BL22" i="8"/>
  <c r="BK22" i="8"/>
  <c r="BJ22" i="8"/>
  <c r="BI22" i="8"/>
  <c r="BG22" i="8"/>
  <c r="BF22" i="8"/>
  <c r="BE22" i="8"/>
  <c r="BD22" i="8"/>
  <c r="BC22" i="8"/>
  <c r="BB22" i="8"/>
  <c r="BA22" i="8"/>
  <c r="AZ22" i="8"/>
  <c r="AX22" i="8"/>
  <c r="AW22" i="8"/>
  <c r="AV22" i="8"/>
  <c r="AU22" i="8"/>
  <c r="AT22" i="8"/>
  <c r="AS22" i="8"/>
  <c r="BP21" i="8"/>
  <c r="BM21" i="8"/>
  <c r="BL21" i="8"/>
  <c r="BK21" i="8"/>
  <c r="BJ21" i="8"/>
  <c r="BI21" i="8"/>
  <c r="BG21" i="8"/>
  <c r="BF21" i="8"/>
  <c r="BE21" i="8"/>
  <c r="BD21" i="8"/>
  <c r="BC21" i="8"/>
  <c r="BB21" i="8"/>
  <c r="BA21" i="8"/>
  <c r="AZ21" i="8"/>
  <c r="AX21" i="8"/>
  <c r="AW21" i="8"/>
  <c r="AV21" i="8"/>
  <c r="AU21" i="8"/>
  <c r="AT21" i="8"/>
  <c r="AS21" i="8"/>
  <c r="BP20" i="8"/>
  <c r="BM20" i="8"/>
  <c r="BL20" i="8"/>
  <c r="BK20" i="8"/>
  <c r="BJ20" i="8"/>
  <c r="BI20" i="8"/>
  <c r="BG20" i="8"/>
  <c r="BF20" i="8"/>
  <c r="BE20" i="8"/>
  <c r="BD20" i="8"/>
  <c r="BC20" i="8"/>
  <c r="BB20" i="8"/>
  <c r="BA20" i="8"/>
  <c r="AZ20" i="8"/>
  <c r="AX20" i="8"/>
  <c r="AW20" i="8"/>
  <c r="AV20" i="8"/>
  <c r="AU20" i="8"/>
  <c r="AT20" i="8"/>
  <c r="AS20" i="8"/>
  <c r="BP19" i="8"/>
  <c r="BM19" i="8"/>
  <c r="BL19" i="8"/>
  <c r="BK19" i="8"/>
  <c r="BJ19" i="8"/>
  <c r="BI19" i="8"/>
  <c r="BG19" i="8"/>
  <c r="BF19" i="8"/>
  <c r="BE19" i="8"/>
  <c r="BD19" i="8"/>
  <c r="BC19" i="8"/>
  <c r="BB19" i="8"/>
  <c r="BA19" i="8"/>
  <c r="AZ19" i="8"/>
  <c r="AX19" i="8"/>
  <c r="AW19" i="8"/>
  <c r="AV19" i="8"/>
  <c r="AU19" i="8"/>
  <c r="AT19" i="8"/>
  <c r="AS19" i="8"/>
  <c r="BP18" i="8"/>
  <c r="BM18" i="8"/>
  <c r="BL18" i="8"/>
  <c r="BK18" i="8"/>
  <c r="BJ18" i="8"/>
  <c r="BI18" i="8"/>
  <c r="BG18" i="8"/>
  <c r="BF18" i="8"/>
  <c r="BE18" i="8"/>
  <c r="BD18" i="8"/>
  <c r="BC18" i="8"/>
  <c r="BB18" i="8"/>
  <c r="BA18" i="8"/>
  <c r="AZ18" i="8"/>
  <c r="AX18" i="8"/>
  <c r="AW18" i="8"/>
  <c r="AV18" i="8"/>
  <c r="AU18" i="8"/>
  <c r="AT18" i="8"/>
  <c r="AS18" i="8"/>
  <c r="BP17" i="8"/>
  <c r="BM17" i="8"/>
  <c r="BL17" i="8"/>
  <c r="BK17" i="8"/>
  <c r="BJ17" i="8"/>
  <c r="BI17" i="8"/>
  <c r="BG17" i="8"/>
  <c r="BF17" i="8"/>
  <c r="BE17" i="8"/>
  <c r="BD17" i="8"/>
  <c r="BC17" i="8"/>
  <c r="BB17" i="8"/>
  <c r="BA17" i="8"/>
  <c r="AZ17" i="8"/>
  <c r="AX17" i="8"/>
  <c r="AW17" i="8"/>
  <c r="AV17" i="8"/>
  <c r="AU17" i="8"/>
  <c r="AT17" i="8"/>
  <c r="AS17" i="8"/>
  <c r="BP16" i="8"/>
  <c r="BM16" i="8"/>
  <c r="BL16" i="8"/>
  <c r="BK16" i="8"/>
  <c r="BJ16" i="8"/>
  <c r="BI16" i="8"/>
  <c r="BG16" i="8"/>
  <c r="BF16" i="8"/>
  <c r="BE16" i="8"/>
  <c r="BD16" i="8"/>
  <c r="BC16" i="8"/>
  <c r="BB16" i="8"/>
  <c r="BA16" i="8"/>
  <c r="AZ16" i="8"/>
  <c r="AX16" i="8"/>
  <c r="AW16" i="8"/>
  <c r="AV16" i="8"/>
  <c r="AU16" i="8"/>
  <c r="AT16" i="8"/>
  <c r="AS16" i="8"/>
  <c r="BP15" i="8"/>
  <c r="BM15" i="8"/>
  <c r="BL15" i="8"/>
  <c r="BK15" i="8"/>
  <c r="BJ15" i="8"/>
  <c r="BI15" i="8"/>
  <c r="BG15" i="8"/>
  <c r="BF15" i="8"/>
  <c r="BE15" i="8"/>
  <c r="BD15" i="8"/>
  <c r="BC15" i="8"/>
  <c r="BB15" i="8"/>
  <c r="BA15" i="8"/>
  <c r="AZ15" i="8"/>
  <c r="AX15" i="8"/>
  <c r="AW15" i="8"/>
  <c r="AV15" i="8"/>
  <c r="AU15" i="8"/>
  <c r="AT15" i="8"/>
  <c r="AS15" i="8"/>
  <c r="BP14" i="8"/>
  <c r="BM14" i="8"/>
  <c r="BL14" i="8"/>
  <c r="BK14" i="8"/>
  <c r="BJ14" i="8"/>
  <c r="BI14" i="8"/>
  <c r="BG14" i="8"/>
  <c r="BF14" i="8"/>
  <c r="BE14" i="8"/>
  <c r="BD14" i="8"/>
  <c r="BC14" i="8"/>
  <c r="BB14" i="8"/>
  <c r="BA14" i="8"/>
  <c r="AZ14" i="8"/>
  <c r="AX14" i="8"/>
  <c r="AW14" i="8"/>
  <c r="AV14" i="8"/>
  <c r="AU14" i="8"/>
  <c r="AT14" i="8"/>
  <c r="AS14" i="8"/>
  <c r="BP13" i="8"/>
  <c r="BM13" i="8"/>
  <c r="BL13" i="8"/>
  <c r="BK13" i="8"/>
  <c r="BJ13" i="8"/>
  <c r="BI13" i="8"/>
  <c r="BG13" i="8"/>
  <c r="BF13" i="8"/>
  <c r="BE13" i="8"/>
  <c r="BD13" i="8"/>
  <c r="BC13" i="8"/>
  <c r="BB13" i="8"/>
  <c r="BA13" i="8"/>
  <c r="AZ13" i="8"/>
  <c r="AX13" i="8"/>
  <c r="AW13" i="8"/>
  <c r="AV13" i="8"/>
  <c r="AU13" i="8"/>
  <c r="AT13" i="8"/>
  <c r="AS13" i="8"/>
  <c r="BP12" i="8"/>
  <c r="BM12" i="8"/>
  <c r="BL12" i="8"/>
  <c r="BK12" i="8"/>
  <c r="BJ12" i="8"/>
  <c r="BI12" i="8"/>
  <c r="BG12" i="8"/>
  <c r="BF12" i="8"/>
  <c r="BE12" i="8"/>
  <c r="BD12" i="8"/>
  <c r="BC12" i="8"/>
  <c r="BB12" i="8"/>
  <c r="BA12" i="8"/>
  <c r="AZ12" i="8"/>
  <c r="AX12" i="8"/>
  <c r="AW12" i="8"/>
  <c r="AV12" i="8"/>
  <c r="AU12" i="8"/>
  <c r="AT12" i="8"/>
  <c r="AS12" i="8"/>
  <c r="BP11" i="8"/>
  <c r="BM11" i="8"/>
  <c r="BL11" i="8"/>
  <c r="BK11" i="8"/>
  <c r="BJ11" i="8"/>
  <c r="BI11" i="8"/>
  <c r="BG11" i="8"/>
  <c r="BF11" i="8"/>
  <c r="BE11" i="8"/>
  <c r="BD11" i="8"/>
  <c r="BC11" i="8"/>
  <c r="BB11" i="8"/>
  <c r="BA11" i="8"/>
  <c r="AZ11" i="8"/>
  <c r="AX11" i="8"/>
  <c r="AW11" i="8"/>
  <c r="AV11" i="8"/>
  <c r="AU11" i="8"/>
  <c r="AT11" i="8"/>
  <c r="AS11" i="8"/>
  <c r="BP10" i="8"/>
  <c r="BM10" i="8"/>
  <c r="BL10" i="8"/>
  <c r="BK10" i="8"/>
  <c r="BJ10" i="8"/>
  <c r="BI10" i="8"/>
  <c r="BG10" i="8"/>
  <c r="BF10" i="8"/>
  <c r="BE10" i="8"/>
  <c r="BD10" i="8"/>
  <c r="BC10" i="8"/>
  <c r="BB10" i="8"/>
  <c r="BA10" i="8"/>
  <c r="AZ10" i="8"/>
  <c r="AX10" i="8"/>
  <c r="AW10" i="8"/>
  <c r="AV10" i="8"/>
  <c r="AU10" i="8"/>
  <c r="AT10" i="8"/>
  <c r="AS10" i="8"/>
  <c r="BP9" i="8"/>
  <c r="BM9" i="8"/>
  <c r="BL9" i="8"/>
  <c r="BK9" i="8"/>
  <c r="BJ9" i="8"/>
  <c r="BI9" i="8"/>
  <c r="BG9" i="8"/>
  <c r="BF9" i="8"/>
  <c r="BE9" i="8"/>
  <c r="BD9" i="8"/>
  <c r="BC9" i="8"/>
  <c r="BB9" i="8"/>
  <c r="BA9" i="8"/>
  <c r="AZ9" i="8"/>
  <c r="AX9" i="8"/>
  <c r="AW9" i="8"/>
  <c r="AV9" i="8"/>
  <c r="AU9" i="8"/>
  <c r="AT9" i="8"/>
  <c r="AS9" i="8"/>
  <c r="BP8" i="8"/>
  <c r="BM8" i="8"/>
  <c r="BL8" i="8"/>
  <c r="BK8" i="8"/>
  <c r="BJ8" i="8"/>
  <c r="BI8" i="8"/>
  <c r="BG8" i="8"/>
  <c r="BF8" i="8"/>
  <c r="BE8" i="8"/>
  <c r="BD8" i="8"/>
  <c r="BC8" i="8"/>
  <c r="BB8" i="8"/>
  <c r="BA8" i="8"/>
  <c r="AZ8" i="8"/>
  <c r="AX8" i="8"/>
  <c r="AW8" i="8"/>
  <c r="AV8" i="8"/>
  <c r="AU8" i="8"/>
  <c r="AT8" i="8"/>
  <c r="AS8" i="8"/>
  <c r="BP7" i="8"/>
  <c r="BM7" i="8"/>
  <c r="BL7" i="8"/>
  <c r="BK7" i="8"/>
  <c r="BJ7" i="8"/>
  <c r="BI7" i="8"/>
  <c r="BG7" i="8"/>
  <c r="BF7" i="8"/>
  <c r="BE7" i="8"/>
  <c r="BD7" i="8"/>
  <c r="BC7" i="8"/>
  <c r="BB7" i="8"/>
  <c r="BA7" i="8"/>
  <c r="AZ7" i="8"/>
  <c r="AX7" i="8"/>
  <c r="AW7" i="8"/>
  <c r="AV7" i="8"/>
  <c r="AU7" i="8"/>
  <c r="AT7" i="8"/>
  <c r="AS7" i="8"/>
  <c r="AR101" i="8"/>
  <c r="AQ101" i="8"/>
  <c r="AP101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AR100" i="8"/>
  <c r="AQ100" i="8"/>
  <c r="AP100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AR99" i="8"/>
  <c r="AQ99" i="8"/>
  <c r="AP99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AR98" i="8"/>
  <c r="AQ98" i="8"/>
  <c r="AP98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AR97" i="8"/>
  <c r="AQ97" i="8"/>
  <c r="AP97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AR96" i="8"/>
  <c r="AQ96" i="8"/>
  <c r="AP96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AR95" i="8"/>
  <c r="AQ95" i="8"/>
  <c r="AP95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AR94" i="8"/>
  <c r="AQ94" i="8"/>
  <c r="AP94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AR93" i="8"/>
  <c r="AQ93" i="8"/>
  <c r="AP93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AR92" i="8"/>
  <c r="AQ92" i="8"/>
  <c r="AP92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AR91" i="8"/>
  <c r="AQ91" i="8"/>
  <c r="AP91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AR90" i="8"/>
  <c r="AQ90" i="8"/>
  <c r="AP90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AR89" i="8"/>
  <c r="AQ89" i="8"/>
  <c r="AP89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AR88" i="8"/>
  <c r="AQ88" i="8"/>
  <c r="AP88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AR87" i="8"/>
  <c r="AQ87" i="8"/>
  <c r="AP87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AR86" i="8"/>
  <c r="AQ86" i="8"/>
  <c r="AP86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AR85" i="8"/>
  <c r="AQ85" i="8"/>
  <c r="AP85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AR84" i="8"/>
  <c r="AQ84" i="8"/>
  <c r="AP84" i="8"/>
  <c r="AO84" i="8"/>
  <c r="AN84" i="8"/>
  <c r="AM84" i="8"/>
  <c r="AL84" i="8"/>
  <c r="AK84" i="8"/>
  <c r="AJ84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AR83" i="8"/>
  <c r="AQ83" i="8"/>
  <c r="AP83" i="8"/>
  <c r="AO83" i="8"/>
  <c r="AN83" i="8"/>
  <c r="AM83" i="8"/>
  <c r="AL83" i="8"/>
  <c r="AK83" i="8"/>
  <c r="AJ83" i="8"/>
  <c r="AI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U83" i="8"/>
  <c r="T83" i="8"/>
  <c r="S83" i="8"/>
  <c r="R83" i="8"/>
  <c r="Q83" i="8"/>
  <c r="P83" i="8"/>
  <c r="O83" i="8"/>
  <c r="N83" i="8"/>
  <c r="M83" i="8"/>
  <c r="L83" i="8"/>
  <c r="K83" i="8"/>
  <c r="J83" i="8"/>
  <c r="I83" i="8"/>
  <c r="H83" i="8"/>
  <c r="G83" i="8"/>
  <c r="F83" i="8"/>
  <c r="AR82" i="8"/>
  <c r="AQ82" i="8"/>
  <c r="AP82" i="8"/>
  <c r="AO82" i="8"/>
  <c r="AN82" i="8"/>
  <c r="AM82" i="8"/>
  <c r="AL82" i="8"/>
  <c r="AK82" i="8"/>
  <c r="AJ82" i="8"/>
  <c r="AI82" i="8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S82" i="8"/>
  <c r="R82" i="8"/>
  <c r="Q82" i="8"/>
  <c r="P82" i="8"/>
  <c r="O82" i="8"/>
  <c r="N82" i="8"/>
  <c r="M82" i="8"/>
  <c r="L82" i="8"/>
  <c r="K82" i="8"/>
  <c r="J82" i="8"/>
  <c r="I82" i="8"/>
  <c r="H82" i="8"/>
  <c r="G82" i="8"/>
  <c r="F82" i="8"/>
  <c r="AR81" i="8"/>
  <c r="AQ81" i="8"/>
  <c r="AP81" i="8"/>
  <c r="AO81" i="8"/>
  <c r="AN81" i="8"/>
  <c r="AM81" i="8"/>
  <c r="AL81" i="8"/>
  <c r="AK81" i="8"/>
  <c r="AJ81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AR80" i="8"/>
  <c r="AQ80" i="8"/>
  <c r="AP80" i="8"/>
  <c r="AO80" i="8"/>
  <c r="AN80" i="8"/>
  <c r="AM80" i="8"/>
  <c r="AL80" i="8"/>
  <c r="AK80" i="8"/>
  <c r="AJ80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AR79" i="8"/>
  <c r="AQ79" i="8"/>
  <c r="AP79" i="8"/>
  <c r="AO79" i="8"/>
  <c r="AN79" i="8"/>
  <c r="AM79" i="8"/>
  <c r="AL79" i="8"/>
  <c r="AK79" i="8"/>
  <c r="AJ79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AR78" i="8"/>
  <c r="AQ78" i="8"/>
  <c r="AP78" i="8"/>
  <c r="AO78" i="8"/>
  <c r="AN78" i="8"/>
  <c r="AM78" i="8"/>
  <c r="AL78" i="8"/>
  <c r="AK78" i="8"/>
  <c r="AJ78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AR77" i="8"/>
  <c r="AQ77" i="8"/>
  <c r="AP77" i="8"/>
  <c r="AO77" i="8"/>
  <c r="AN77" i="8"/>
  <c r="AM77" i="8"/>
  <c r="AL77" i="8"/>
  <c r="AK77" i="8"/>
  <c r="AJ77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AR76" i="8"/>
  <c r="AQ76" i="8"/>
  <c r="AP76" i="8"/>
  <c r="AO76" i="8"/>
  <c r="AN76" i="8"/>
  <c r="AM76" i="8"/>
  <c r="AL76" i="8"/>
  <c r="AK76" i="8"/>
  <c r="AJ76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AR75" i="8"/>
  <c r="AQ75" i="8"/>
  <c r="AP75" i="8"/>
  <c r="AO75" i="8"/>
  <c r="AN75" i="8"/>
  <c r="AM75" i="8"/>
  <c r="AL75" i="8"/>
  <c r="AK75" i="8"/>
  <c r="AJ75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AR74" i="8"/>
  <c r="AQ74" i="8"/>
  <c r="AP74" i="8"/>
  <c r="AO74" i="8"/>
  <c r="AN74" i="8"/>
  <c r="AM74" i="8"/>
  <c r="AL74" i="8"/>
  <c r="AK74" i="8"/>
  <c r="AJ74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AR73" i="8"/>
  <c r="AQ73" i="8"/>
  <c r="AP73" i="8"/>
  <c r="AO73" i="8"/>
  <c r="AN73" i="8"/>
  <c r="AM73" i="8"/>
  <c r="AL73" i="8"/>
  <c r="AK73" i="8"/>
  <c r="AJ73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AR72" i="8"/>
  <c r="AQ72" i="8"/>
  <c r="AP72" i="8"/>
  <c r="AO72" i="8"/>
  <c r="AN72" i="8"/>
  <c r="AM72" i="8"/>
  <c r="AL72" i="8"/>
  <c r="AK72" i="8"/>
  <c r="AJ72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AR71" i="8"/>
  <c r="AQ71" i="8"/>
  <c r="AP71" i="8"/>
  <c r="AO71" i="8"/>
  <c r="AN71" i="8"/>
  <c r="AM71" i="8"/>
  <c r="AL71" i="8"/>
  <c r="AK71" i="8"/>
  <c r="AJ71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AR70" i="8"/>
  <c r="AQ70" i="8"/>
  <c r="AP70" i="8"/>
  <c r="AO70" i="8"/>
  <c r="AN70" i="8"/>
  <c r="AM70" i="8"/>
  <c r="AL70" i="8"/>
  <c r="AK70" i="8"/>
  <c r="AJ70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AR69" i="8"/>
  <c r="AQ69" i="8"/>
  <c r="AP69" i="8"/>
  <c r="AO69" i="8"/>
  <c r="AN69" i="8"/>
  <c r="AM69" i="8"/>
  <c r="AL69" i="8"/>
  <c r="AK69" i="8"/>
  <c r="AJ69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AR68" i="8"/>
  <c r="AQ68" i="8"/>
  <c r="AP68" i="8"/>
  <c r="AO68" i="8"/>
  <c r="AN68" i="8"/>
  <c r="AM68" i="8"/>
  <c r="AL68" i="8"/>
  <c r="AK68" i="8"/>
  <c r="AJ68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AR67" i="8"/>
  <c r="AQ67" i="8"/>
  <c r="AP67" i="8"/>
  <c r="AO67" i="8"/>
  <c r="AN67" i="8"/>
  <c r="AM67" i="8"/>
  <c r="AL67" i="8"/>
  <c r="AK67" i="8"/>
  <c r="AJ67" i="8"/>
  <c r="AI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U67" i="8"/>
  <c r="T67" i="8"/>
  <c r="S67" i="8"/>
  <c r="R67" i="8"/>
  <c r="Q67" i="8"/>
  <c r="P67" i="8"/>
  <c r="O67" i="8"/>
  <c r="N67" i="8"/>
  <c r="M67" i="8"/>
  <c r="L67" i="8"/>
  <c r="K67" i="8"/>
  <c r="J67" i="8"/>
  <c r="I67" i="8"/>
  <c r="H67" i="8"/>
  <c r="G67" i="8"/>
  <c r="F67" i="8"/>
  <c r="AR66" i="8"/>
  <c r="AQ66" i="8"/>
  <c r="AP66" i="8"/>
  <c r="AO66" i="8"/>
  <c r="AN66" i="8"/>
  <c r="AM66" i="8"/>
  <c r="AL66" i="8"/>
  <c r="AK66" i="8"/>
  <c r="AJ66" i="8"/>
  <c r="AI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S66" i="8"/>
  <c r="R66" i="8"/>
  <c r="Q66" i="8"/>
  <c r="P66" i="8"/>
  <c r="O66" i="8"/>
  <c r="N66" i="8"/>
  <c r="M66" i="8"/>
  <c r="L66" i="8"/>
  <c r="K66" i="8"/>
  <c r="J66" i="8"/>
  <c r="I66" i="8"/>
  <c r="H66" i="8"/>
  <c r="G66" i="8"/>
  <c r="F66" i="8"/>
  <c r="AR65" i="8"/>
  <c r="AQ65" i="8"/>
  <c r="AP65" i="8"/>
  <c r="AO65" i="8"/>
  <c r="AN65" i="8"/>
  <c r="AM65" i="8"/>
  <c r="AL65" i="8"/>
  <c r="AK65" i="8"/>
  <c r="AJ65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AR64" i="8"/>
  <c r="AQ64" i="8"/>
  <c r="AP64" i="8"/>
  <c r="AO64" i="8"/>
  <c r="AN64" i="8"/>
  <c r="AM64" i="8"/>
  <c r="AL64" i="8"/>
  <c r="AK64" i="8"/>
  <c r="AJ64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AR63" i="8"/>
  <c r="AQ63" i="8"/>
  <c r="AP63" i="8"/>
  <c r="AO63" i="8"/>
  <c r="AN63" i="8"/>
  <c r="AM63" i="8"/>
  <c r="AL63" i="8"/>
  <c r="AK63" i="8"/>
  <c r="AJ63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AR62" i="8"/>
  <c r="AQ62" i="8"/>
  <c r="AP62" i="8"/>
  <c r="AO62" i="8"/>
  <c r="AN62" i="8"/>
  <c r="AM62" i="8"/>
  <c r="AL62" i="8"/>
  <c r="AK62" i="8"/>
  <c r="AJ62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BP2" i="8"/>
  <c r="BO2" i="8"/>
  <c r="BN2" i="8"/>
  <c r="BM2" i="8"/>
  <c r="BL2" i="8"/>
  <c r="BK2" i="8"/>
  <c r="BJ2" i="8"/>
  <c r="BI2" i="8"/>
  <c r="BH2" i="8"/>
  <c r="BG2" i="8"/>
  <c r="BF2" i="8"/>
  <c r="BE2" i="8"/>
  <c r="BD2" i="8"/>
  <c r="BC2" i="8"/>
  <c r="BB2" i="8"/>
  <c r="BA2" i="8"/>
  <c r="AZ2" i="8"/>
  <c r="AX2" i="8"/>
  <c r="AW2" i="8"/>
  <c r="AV2" i="8"/>
  <c r="AU2" i="8"/>
  <c r="AT2" i="8"/>
  <c r="AS2" i="8"/>
  <c r="AR2" i="8"/>
  <c r="AQ2" i="8"/>
  <c r="AP2" i="8"/>
  <c r="AO2" i="8"/>
  <c r="AN2" i="8"/>
  <c r="AM2" i="8"/>
  <c r="AL2" i="8"/>
  <c r="AK2" i="8"/>
  <c r="AJ2" i="8"/>
  <c r="AI2" i="8"/>
  <c r="AH2" i="8"/>
  <c r="AG2" i="8"/>
  <c r="AF2" i="8"/>
  <c r="AE2" i="8"/>
  <c r="AD2" i="8"/>
  <c r="AC2" i="8"/>
  <c r="AB2" i="8"/>
  <c r="AA2" i="8"/>
  <c r="Z2" i="8"/>
  <c r="Y2" i="8"/>
  <c r="X2" i="8"/>
  <c r="W2" i="8"/>
  <c r="V2" i="8"/>
  <c r="U2" i="8"/>
  <c r="T2" i="8"/>
  <c r="S2" i="8"/>
  <c r="R2" i="8"/>
  <c r="Q2" i="8"/>
  <c r="P2" i="8"/>
  <c r="O2" i="8"/>
  <c r="N2" i="8"/>
  <c r="M2" i="8"/>
  <c r="L2" i="8"/>
  <c r="K2" i="8"/>
  <c r="J2" i="8"/>
  <c r="I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42" i="8"/>
  <c r="AR41" i="8"/>
  <c r="AR40" i="8"/>
  <c r="AR39" i="8"/>
  <c r="AR38" i="8"/>
  <c r="AR3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BP6" i="8"/>
  <c r="BP3" i="8"/>
  <c r="BP1" i="8"/>
  <c r="BO6" i="8"/>
  <c r="BO3" i="8"/>
  <c r="BO1" i="8"/>
  <c r="BN6" i="8"/>
  <c r="BM6" i="8"/>
  <c r="BL6" i="8"/>
  <c r="BK6" i="8"/>
  <c r="BJ6" i="8"/>
  <c r="BI6" i="8"/>
  <c r="BH6" i="8"/>
  <c r="BG6" i="8"/>
  <c r="BF6" i="8"/>
  <c r="BE6" i="8"/>
  <c r="BD6" i="8"/>
  <c r="BC6" i="8"/>
  <c r="BB6" i="8"/>
  <c r="BA6" i="8"/>
  <c r="AZ6" i="8"/>
  <c r="AX6" i="8"/>
  <c r="AW6" i="8"/>
  <c r="AV6" i="8"/>
  <c r="AU6" i="8"/>
  <c r="AT6" i="8"/>
  <c r="AS6" i="8"/>
  <c r="BN3" i="8"/>
  <c r="BM3" i="8"/>
  <c r="BL3" i="8"/>
  <c r="BK3" i="8"/>
  <c r="BJ3" i="8"/>
  <c r="BI3" i="8"/>
  <c r="BH3" i="8"/>
  <c r="BG3" i="8"/>
  <c r="BF3" i="8"/>
  <c r="BE3" i="8"/>
  <c r="BD3" i="8"/>
  <c r="BC3" i="8"/>
  <c r="BB3" i="8"/>
  <c r="BA3" i="8"/>
  <c r="AZ3" i="8"/>
  <c r="AX3" i="8"/>
  <c r="AW3" i="8"/>
  <c r="AV3" i="8"/>
  <c r="AU3" i="8"/>
  <c r="AT3" i="8"/>
  <c r="AS3" i="8"/>
  <c r="BN1" i="8"/>
  <c r="BM1" i="8"/>
  <c r="BL1" i="8"/>
  <c r="BK1" i="8"/>
  <c r="BJ1" i="8"/>
  <c r="BI1" i="8"/>
  <c r="BH1" i="8"/>
  <c r="BG1" i="8"/>
  <c r="BF1" i="8"/>
  <c r="BE1" i="8"/>
  <c r="BD1" i="8"/>
  <c r="BC1" i="8"/>
  <c r="BB1" i="8"/>
  <c r="BA1" i="8"/>
  <c r="AZ1" i="8"/>
  <c r="AX1" i="8"/>
  <c r="AW1" i="8"/>
  <c r="AV1" i="8"/>
  <c r="AU1" i="8"/>
  <c r="AT1" i="8"/>
  <c r="AS1" i="8"/>
  <c r="AR6" i="8"/>
  <c r="AQ6" i="8"/>
  <c r="AP6" i="8"/>
  <c r="AO6" i="8"/>
  <c r="AN6" i="8"/>
  <c r="AM6" i="8"/>
  <c r="AL6" i="8"/>
  <c r="AK6" i="8"/>
  <c r="AJ6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H2" i="8"/>
  <c r="G2" i="8"/>
  <c r="F2" i="8"/>
  <c r="AR1" i="8"/>
  <c r="AQ1" i="8"/>
  <c r="AP1" i="8"/>
  <c r="AO1" i="8"/>
  <c r="AN1" i="8"/>
  <c r="AM1" i="8"/>
  <c r="AL1" i="8"/>
  <c r="AK1" i="8"/>
  <c r="AJ1" i="8"/>
  <c r="AI1" i="8"/>
  <c r="AH1" i="8"/>
  <c r="AG1" i="8"/>
  <c r="AF1" i="8"/>
  <c r="AE1" i="8"/>
  <c r="AD1" i="8"/>
  <c r="AC1" i="8"/>
  <c r="AB1" i="8"/>
  <c r="AA1" i="8"/>
  <c r="Z1" i="8"/>
  <c r="Y1" i="8"/>
  <c r="X1" i="8"/>
  <c r="W1" i="8"/>
  <c r="V1" i="8"/>
  <c r="U1" i="8"/>
  <c r="T1" i="8"/>
  <c r="S1" i="8"/>
  <c r="R1" i="8"/>
  <c r="Q1" i="8"/>
  <c r="P1" i="8"/>
  <c r="O1" i="8"/>
  <c r="N1" i="8"/>
  <c r="M1" i="8"/>
  <c r="L1" i="8"/>
  <c r="K1" i="8"/>
  <c r="J1" i="8"/>
  <c r="I1" i="8"/>
  <c r="H1" i="8"/>
  <c r="G1" i="8"/>
  <c r="F1" i="8"/>
  <c r="E101" i="8"/>
  <c r="E98" i="8"/>
  <c r="E99" i="8"/>
  <c r="E100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3" i="8"/>
  <c r="E2" i="8"/>
  <c r="E1" i="8"/>
  <c r="BH112" i="8" l="1"/>
  <c r="BH100" i="8"/>
  <c r="BH88" i="8"/>
  <c r="BH76" i="8"/>
  <c r="BH64" i="8"/>
  <c r="B60" i="9" s="1"/>
  <c r="BH52" i="8"/>
  <c r="BH40" i="8"/>
  <c r="BH28" i="8"/>
  <c r="BH16" i="8"/>
  <c r="BH111" i="8"/>
  <c r="BH99" i="8"/>
  <c r="BH87" i="8"/>
  <c r="BH75" i="8"/>
  <c r="BH63" i="8"/>
  <c r="B59" i="9" s="1"/>
  <c r="BH51" i="8"/>
  <c r="BH39" i="8"/>
  <c r="BH27" i="8"/>
  <c r="BH15" i="8"/>
  <c r="BH48" i="8"/>
  <c r="BH35" i="8"/>
  <c r="BH11" i="8"/>
  <c r="BH83" i="8"/>
  <c r="BH110" i="8"/>
  <c r="BH98" i="8"/>
  <c r="BH86" i="8"/>
  <c r="BH74" i="8"/>
  <c r="BH62" i="8"/>
  <c r="BH50" i="8"/>
  <c r="BH38" i="8"/>
  <c r="BH26" i="8"/>
  <c r="BH14" i="8"/>
  <c r="BH109" i="8"/>
  <c r="BH97" i="8"/>
  <c r="BH85" i="8"/>
  <c r="BH73" i="8"/>
  <c r="BH61" i="8"/>
  <c r="BH49" i="8"/>
  <c r="BH37" i="8"/>
  <c r="BH25" i="8"/>
  <c r="BH107" i="8"/>
  <c r="BH71" i="8"/>
  <c r="BH59" i="8"/>
  <c r="BH23" i="8"/>
  <c r="BH13" i="8"/>
  <c r="BH47" i="8"/>
  <c r="BH108" i="8"/>
  <c r="BH96" i="8"/>
  <c r="BH84" i="8"/>
  <c r="BH72" i="8"/>
  <c r="BH60" i="8"/>
  <c r="BH36" i="8"/>
  <c r="BH24" i="8"/>
  <c r="BH12" i="8"/>
  <c r="BH95" i="8"/>
  <c r="A95" i="8" s="1"/>
  <c r="BH106" i="8"/>
  <c r="BH94" i="8"/>
  <c r="B90" i="9" s="1"/>
  <c r="BH82" i="8"/>
  <c r="A82" i="8" s="1"/>
  <c r="BH70" i="8"/>
  <c r="BH58" i="8"/>
  <c r="BH46" i="8"/>
  <c r="BH34" i="8"/>
  <c r="BH22" i="8"/>
  <c r="BH10" i="8"/>
  <c r="BH104" i="8"/>
  <c r="BH80" i="8"/>
  <c r="BH68" i="8"/>
  <c r="A68" i="8" s="1"/>
  <c r="BH44" i="8"/>
  <c r="BH20" i="8"/>
  <c r="BH91" i="8"/>
  <c r="BH67" i="8"/>
  <c r="BH43" i="8"/>
  <c r="BH19" i="8"/>
  <c r="BH90" i="8"/>
  <c r="BH66" i="8"/>
  <c r="BH42" i="8"/>
  <c r="BH30" i="8"/>
  <c r="BH89" i="8"/>
  <c r="A89" i="8" s="1"/>
  <c r="BH65" i="8"/>
  <c r="BH41" i="8"/>
  <c r="BH17" i="8"/>
  <c r="BH105" i="8"/>
  <c r="BH93" i="8"/>
  <c r="BH81" i="8"/>
  <c r="BH69" i="8"/>
  <c r="BH57" i="8"/>
  <c r="BH45" i="8"/>
  <c r="BH33" i="8"/>
  <c r="BH21" i="8"/>
  <c r="BH9" i="8"/>
  <c r="BH92" i="8"/>
  <c r="BH56" i="8"/>
  <c r="BH32" i="8"/>
  <c r="BH8" i="8"/>
  <c r="BH103" i="8"/>
  <c r="BH79" i="8"/>
  <c r="BH55" i="8"/>
  <c r="BH31" i="8"/>
  <c r="BH7" i="8"/>
  <c r="BH102" i="8"/>
  <c r="BH78" i="8"/>
  <c r="A78" i="8" s="1"/>
  <c r="BH54" i="8"/>
  <c r="BH18" i="8"/>
  <c r="BH101" i="8"/>
  <c r="B97" i="9" s="1"/>
  <c r="BH77" i="8"/>
  <c r="BH53" i="8"/>
  <c r="BH29" i="8"/>
  <c r="BO111" i="8"/>
  <c r="BO99" i="8"/>
  <c r="BO87" i="8"/>
  <c r="BO75" i="8"/>
  <c r="BO63" i="8"/>
  <c r="BO51" i="8"/>
  <c r="BO39" i="8"/>
  <c r="BO27" i="8"/>
  <c r="BO15" i="8"/>
  <c r="BO110" i="8"/>
  <c r="BO98" i="8"/>
  <c r="BO86" i="8"/>
  <c r="BO74" i="8"/>
  <c r="BO62" i="8"/>
  <c r="BO50" i="8"/>
  <c r="BO38" i="8"/>
  <c r="BO26" i="8"/>
  <c r="BO14" i="8"/>
  <c r="BO106" i="8"/>
  <c r="BO70" i="8"/>
  <c r="BO34" i="8"/>
  <c r="BO52" i="8"/>
  <c r="BO109" i="8"/>
  <c r="BO97" i="8"/>
  <c r="BO85" i="8"/>
  <c r="BO73" i="8"/>
  <c r="BO61" i="8"/>
  <c r="BO49" i="8"/>
  <c r="BO37" i="8"/>
  <c r="BO25" i="8"/>
  <c r="BO13" i="8"/>
  <c r="BO108" i="8"/>
  <c r="BO96" i="8"/>
  <c r="BO84" i="8"/>
  <c r="A84" i="8" s="1"/>
  <c r="BO72" i="8"/>
  <c r="A72" i="8" s="1"/>
  <c r="BO60" i="8"/>
  <c r="BO48" i="8"/>
  <c r="BO36" i="8"/>
  <c r="BO24" i="8"/>
  <c r="BO12" i="8"/>
  <c r="BO47" i="8"/>
  <c r="BO94" i="8"/>
  <c r="BO58" i="8"/>
  <c r="BO22" i="8"/>
  <c r="BO71" i="8"/>
  <c r="BO82" i="8"/>
  <c r="BO46" i="8"/>
  <c r="BO10" i="8"/>
  <c r="BO64" i="8"/>
  <c r="BO107" i="8"/>
  <c r="BO95" i="8"/>
  <c r="BO83" i="8"/>
  <c r="BO59" i="8"/>
  <c r="BO35" i="8"/>
  <c r="BO23" i="8"/>
  <c r="BO11" i="8"/>
  <c r="BO105" i="8"/>
  <c r="BO93" i="8"/>
  <c r="BO81" i="8"/>
  <c r="BO69" i="8"/>
  <c r="BO57" i="8"/>
  <c r="BO45" i="8"/>
  <c r="BO33" i="8"/>
  <c r="BO21" i="8"/>
  <c r="BO9" i="8"/>
  <c r="BO103" i="8"/>
  <c r="BO79" i="8"/>
  <c r="BO55" i="8"/>
  <c r="BO31" i="8"/>
  <c r="BO7" i="8"/>
  <c r="BO102" i="8"/>
  <c r="BO78" i="8"/>
  <c r="BO66" i="8"/>
  <c r="BO30" i="8"/>
  <c r="BO89" i="8"/>
  <c r="BO65" i="8"/>
  <c r="BO41" i="8"/>
  <c r="BO17" i="8"/>
  <c r="BO100" i="8"/>
  <c r="BO76" i="8"/>
  <c r="BO28" i="8"/>
  <c r="BO104" i="8"/>
  <c r="BO92" i="8"/>
  <c r="BO80" i="8"/>
  <c r="BO68" i="8"/>
  <c r="BO56" i="8"/>
  <c r="BO44" i="8"/>
  <c r="BO32" i="8"/>
  <c r="BO20" i="8"/>
  <c r="BO8" i="8"/>
  <c r="BO91" i="8"/>
  <c r="BO67" i="8"/>
  <c r="BO43" i="8"/>
  <c r="BO19" i="8"/>
  <c r="BO90" i="8"/>
  <c r="BO54" i="8"/>
  <c r="BO42" i="8"/>
  <c r="BO18" i="8"/>
  <c r="BO101" i="8"/>
  <c r="BO77" i="8"/>
  <c r="BO53" i="8"/>
  <c r="BO29" i="8"/>
  <c r="BO88" i="8"/>
  <c r="BO40" i="8"/>
  <c r="BO16" i="8"/>
  <c r="BN102" i="8"/>
  <c r="BN90" i="8"/>
  <c r="A90" i="8" s="1"/>
  <c r="BN78" i="8"/>
  <c r="BN66" i="8"/>
  <c r="BN54" i="8"/>
  <c r="BN42" i="8"/>
  <c r="BN30" i="8"/>
  <c r="BN18" i="8"/>
  <c r="BN101" i="8"/>
  <c r="BN89" i="8"/>
  <c r="BN77" i="8"/>
  <c r="BN65" i="8"/>
  <c r="BN53" i="8"/>
  <c r="BN41" i="8"/>
  <c r="BN29" i="8"/>
  <c r="BN17" i="8"/>
  <c r="BN74" i="8"/>
  <c r="BN50" i="8"/>
  <c r="BN85" i="8"/>
  <c r="BN61" i="8"/>
  <c r="BN25" i="8"/>
  <c r="BN7" i="8"/>
  <c r="BN100" i="8"/>
  <c r="B96" i="9" s="1"/>
  <c r="BN88" i="8"/>
  <c r="B84" i="9" s="1"/>
  <c r="BN76" i="8"/>
  <c r="BN64" i="8"/>
  <c r="BN52" i="8"/>
  <c r="BN40" i="8"/>
  <c r="BN28" i="8"/>
  <c r="BN16" i="8"/>
  <c r="BN99" i="8"/>
  <c r="BN87" i="8"/>
  <c r="BN75" i="8"/>
  <c r="BN63" i="8"/>
  <c r="BN51" i="8"/>
  <c r="BN39" i="8"/>
  <c r="BN27" i="8"/>
  <c r="BN15" i="8"/>
  <c r="BN86" i="8"/>
  <c r="BN26" i="8"/>
  <c r="BN109" i="8"/>
  <c r="BN49" i="8"/>
  <c r="BN79" i="8"/>
  <c r="BN110" i="8"/>
  <c r="BN62" i="8"/>
  <c r="B58" i="9" s="1"/>
  <c r="BN38" i="8"/>
  <c r="BN97" i="8"/>
  <c r="BN73" i="8"/>
  <c r="BN37" i="8"/>
  <c r="BN13" i="8"/>
  <c r="BN19" i="8"/>
  <c r="BN98" i="8"/>
  <c r="BN14" i="8"/>
  <c r="BN108" i="8"/>
  <c r="BN96" i="8"/>
  <c r="BN84" i="8"/>
  <c r="BN72" i="8"/>
  <c r="BN60" i="8"/>
  <c r="BN48" i="8"/>
  <c r="BN36" i="8"/>
  <c r="BN24" i="8"/>
  <c r="BN12" i="8"/>
  <c r="BN94" i="8"/>
  <c r="BN70" i="8"/>
  <c r="BN58" i="8"/>
  <c r="BN34" i="8"/>
  <c r="BN10" i="8"/>
  <c r="BN105" i="8"/>
  <c r="BN81" i="8"/>
  <c r="BN69" i="8"/>
  <c r="A69" i="8" s="1"/>
  <c r="BN45" i="8"/>
  <c r="BN21" i="8"/>
  <c r="BN104" i="8"/>
  <c r="BN80" i="8"/>
  <c r="BN56" i="8"/>
  <c r="BN32" i="8"/>
  <c r="BN8" i="8"/>
  <c r="BN103" i="8"/>
  <c r="BN67" i="8"/>
  <c r="A67" i="8" s="1"/>
  <c r="BN43" i="8"/>
  <c r="BN107" i="8"/>
  <c r="BN95" i="8"/>
  <c r="BN83" i="8"/>
  <c r="BN71" i="8"/>
  <c r="A71" i="8" s="1"/>
  <c r="BN59" i="8"/>
  <c r="BN47" i="8"/>
  <c r="BN35" i="8"/>
  <c r="BN23" i="8"/>
  <c r="BN11" i="8"/>
  <c r="BN106" i="8"/>
  <c r="BN82" i="8"/>
  <c r="BN46" i="8"/>
  <c r="BN22" i="8"/>
  <c r="BN93" i="8"/>
  <c r="BN57" i="8"/>
  <c r="BN33" i="8"/>
  <c r="BN9" i="8"/>
  <c r="BN92" i="8"/>
  <c r="BN68" i="8"/>
  <c r="BN44" i="8"/>
  <c r="BN20" i="8"/>
  <c r="BN91" i="8"/>
  <c r="BN55" i="8"/>
  <c r="BN31" i="8"/>
  <c r="B74" i="9"/>
  <c r="B63" i="9"/>
  <c r="B67" i="9"/>
  <c r="B91" i="9"/>
  <c r="B85" i="9"/>
  <c r="AA46" i="11"/>
  <c r="AA47" i="11" s="1"/>
  <c r="AA48" i="11" s="1"/>
  <c r="AA49" i="11" s="1"/>
  <c r="AA50" i="11" s="1"/>
  <c r="AA51" i="11" s="1"/>
  <c r="AA52" i="11" s="1"/>
  <c r="AA53" i="11" s="1"/>
  <c r="AA54" i="11" s="1"/>
  <c r="AA55" i="11" s="1"/>
  <c r="AA56" i="11" s="1"/>
  <c r="AA57" i="11" s="1"/>
  <c r="AA58" i="11" s="1"/>
  <c r="AA59" i="11" s="1"/>
  <c r="AA60" i="11" s="1"/>
  <c r="BB76" i="11"/>
  <c r="BB77" i="11" s="1"/>
  <c r="BB78" i="11" s="1"/>
  <c r="BB79" i="11" s="1"/>
  <c r="BB80" i="11" s="1"/>
  <c r="BB81" i="11" s="1"/>
  <c r="BB82" i="11" s="1"/>
  <c r="C12" i="11"/>
  <c r="A11" i="11"/>
  <c r="AJ46" i="11"/>
  <c r="AJ47" i="11" s="1"/>
  <c r="AJ48" i="11" s="1"/>
  <c r="AJ49" i="11" s="1"/>
  <c r="AJ50" i="11" s="1"/>
  <c r="AJ51" i="11" s="1"/>
  <c r="AJ52" i="11" s="1"/>
  <c r="AJ53" i="11" s="1"/>
  <c r="AJ54" i="11" s="1"/>
  <c r="AJ55" i="11" s="1"/>
  <c r="AJ56" i="11" s="1"/>
  <c r="AJ57" i="11" s="1"/>
  <c r="AJ58" i="11" s="1"/>
  <c r="AJ59" i="11" s="1"/>
  <c r="AJ60" i="11" s="1"/>
  <c r="AJ61" i="11" s="1"/>
  <c r="AJ62" i="11" s="1"/>
  <c r="AJ63" i="11" s="1"/>
  <c r="AQ66" i="11"/>
  <c r="AQ67" i="11" s="1"/>
  <c r="AQ68" i="11" s="1"/>
  <c r="AQ69" i="11" s="1"/>
  <c r="AQ70" i="11" s="1"/>
  <c r="AQ71" i="11" s="1"/>
  <c r="AQ72" i="11" s="1"/>
  <c r="AY76" i="11"/>
  <c r="AY77" i="11" s="1"/>
  <c r="AY78" i="11" s="1"/>
  <c r="AY79" i="11" s="1"/>
  <c r="AY80" i="11" s="1"/>
  <c r="AY81" i="11" s="1"/>
  <c r="AY82" i="11" s="1"/>
  <c r="AR66" i="11"/>
  <c r="AR67" i="11" s="1"/>
  <c r="AR68" i="11" s="1"/>
  <c r="AB15" i="11"/>
  <c r="V30" i="11"/>
  <c r="T34" i="11"/>
  <c r="A85" i="8"/>
  <c r="A75" i="8"/>
  <c r="A100" i="8"/>
  <c r="A83" i="8"/>
  <c r="B87" i="9" l="1"/>
  <c r="B93" i="9"/>
  <c r="A77" i="8"/>
  <c r="A65" i="8"/>
  <c r="A63" i="8"/>
  <c r="B71" i="9"/>
  <c r="B72" i="9"/>
  <c r="A76" i="8"/>
  <c r="A92" i="8"/>
  <c r="B78" i="9"/>
  <c r="B76" i="9"/>
  <c r="B68" i="9"/>
  <c r="B65" i="9"/>
  <c r="A98" i="8"/>
  <c r="A87" i="8"/>
  <c r="A94" i="8"/>
  <c r="A79" i="8"/>
  <c r="A74" i="8"/>
  <c r="A88" i="8"/>
  <c r="B88" i="9"/>
  <c r="A66" i="8"/>
  <c r="A64" i="8"/>
  <c r="B81" i="9"/>
  <c r="B77" i="9"/>
  <c r="B92" i="9"/>
  <c r="A73" i="8"/>
  <c r="A99" i="8"/>
  <c r="A96" i="8"/>
  <c r="B64" i="9"/>
  <c r="B82" i="9"/>
  <c r="A80" i="8"/>
  <c r="A97" i="8"/>
  <c r="A93" i="8"/>
  <c r="B66" i="9"/>
  <c r="B79" i="9"/>
  <c r="A111" i="8"/>
  <c r="B107" i="9"/>
  <c r="B99" i="9"/>
  <c r="A103" i="8"/>
  <c r="B104" i="9"/>
  <c r="A108" i="8"/>
  <c r="A70" i="8"/>
  <c r="B101" i="9"/>
  <c r="A105" i="8"/>
  <c r="A81" i="8"/>
  <c r="B70" i="9"/>
  <c r="B89" i="9"/>
  <c r="A62" i="8"/>
  <c r="B73" i="9"/>
  <c r="B62" i="9"/>
  <c r="B105" i="9"/>
  <c r="A109" i="8"/>
  <c r="B95" i="9"/>
  <c r="B69" i="9"/>
  <c r="B102" i="9"/>
  <c r="A106" i="8"/>
  <c r="A91" i="8"/>
  <c r="B61" i="9"/>
  <c r="A101" i="8"/>
  <c r="A104" i="8"/>
  <c r="B100" i="9"/>
  <c r="A107" i="8"/>
  <c r="B103" i="9"/>
  <c r="B106" i="9"/>
  <c r="A110" i="8"/>
  <c r="B94" i="9"/>
  <c r="A86" i="8"/>
  <c r="B98" i="9"/>
  <c r="A102" i="8"/>
  <c r="B75" i="9"/>
  <c r="B86" i="9"/>
  <c r="B80" i="9"/>
  <c r="B83" i="9"/>
  <c r="C13" i="11"/>
  <c r="A12" i="11"/>
  <c r="AB16" i="11"/>
  <c r="V31" i="11"/>
  <c r="T35" i="11"/>
  <c r="BL1" i="11"/>
  <c r="BM1" i="11"/>
  <c r="BL2" i="11"/>
  <c r="BM2" i="11"/>
  <c r="BL3" i="11"/>
  <c r="BL4" i="11" s="1"/>
  <c r="BO4" i="8" s="1"/>
  <c r="BM3" i="11"/>
  <c r="BL6" i="11"/>
  <c r="BM6" i="11"/>
  <c r="BI1" i="11"/>
  <c r="BJ1" i="11"/>
  <c r="BK1" i="11"/>
  <c r="BI2" i="11"/>
  <c r="BJ2" i="11"/>
  <c r="BK2" i="11"/>
  <c r="BI3" i="11"/>
  <c r="BJ3" i="11"/>
  <c r="BK3" i="11"/>
  <c r="BI6" i="11"/>
  <c r="BJ6" i="11"/>
  <c r="BK6" i="11"/>
  <c r="BD1" i="11"/>
  <c r="BE1" i="11"/>
  <c r="BF1" i="11"/>
  <c r="BG1" i="11"/>
  <c r="BH1" i="11"/>
  <c r="BD2" i="11"/>
  <c r="BE2" i="11"/>
  <c r="BF2" i="11"/>
  <c r="BG2" i="11"/>
  <c r="BH2" i="11"/>
  <c r="BD3" i="11"/>
  <c r="BE3" i="11"/>
  <c r="BF3" i="11"/>
  <c r="BG3" i="11"/>
  <c r="BH3" i="11"/>
  <c r="BD6" i="11"/>
  <c r="BE6" i="11"/>
  <c r="BF6" i="11"/>
  <c r="BG6" i="11"/>
  <c r="BH6" i="11"/>
  <c r="BA1" i="11"/>
  <c r="BB1" i="11"/>
  <c r="BC1" i="11"/>
  <c r="BA2" i="11"/>
  <c r="BB2" i="11"/>
  <c r="BC2" i="11"/>
  <c r="BA3" i="11"/>
  <c r="BB3" i="11"/>
  <c r="BC3" i="11"/>
  <c r="BA6" i="11"/>
  <c r="BB6" i="11"/>
  <c r="BC6" i="11"/>
  <c r="AZ6" i="11"/>
  <c r="AY6" i="11"/>
  <c r="AX6" i="11"/>
  <c r="AW6" i="11"/>
  <c r="AU6" i="11"/>
  <c r="AT6" i="11"/>
  <c r="AS6" i="11"/>
  <c r="AR6" i="11"/>
  <c r="AQ6" i="11"/>
  <c r="AP6" i="11"/>
  <c r="AO6" i="11"/>
  <c r="AN6" i="11"/>
  <c r="AM6" i="11"/>
  <c r="AL6" i="11"/>
  <c r="AK6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AZ3" i="11"/>
  <c r="AY3" i="11"/>
  <c r="AX3" i="11"/>
  <c r="AW3" i="11"/>
  <c r="AU3" i="11"/>
  <c r="AT3" i="11"/>
  <c r="AS3" i="11"/>
  <c r="AR3" i="11"/>
  <c r="AQ3" i="11"/>
  <c r="AP3" i="11"/>
  <c r="AO3" i="11"/>
  <c r="AN3" i="11"/>
  <c r="AM3" i="11"/>
  <c r="AL3" i="11"/>
  <c r="AK3" i="11"/>
  <c r="AJ3" i="11"/>
  <c r="AI3" i="11"/>
  <c r="AH3" i="11"/>
  <c r="AG3" i="11"/>
  <c r="AF3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AZ2" i="11"/>
  <c r="AY2" i="11"/>
  <c r="AX2" i="11"/>
  <c r="AW2" i="11"/>
  <c r="AU2" i="11"/>
  <c r="AT2" i="11"/>
  <c r="AS2" i="11"/>
  <c r="AR2" i="11"/>
  <c r="AQ2" i="11"/>
  <c r="AP2" i="11"/>
  <c r="AO2" i="11"/>
  <c r="AN2" i="11"/>
  <c r="AM2" i="1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AZ1" i="11"/>
  <c r="AY1" i="11"/>
  <c r="AX1" i="11"/>
  <c r="AW1" i="11"/>
  <c r="AU1" i="11"/>
  <c r="AT1" i="11"/>
  <c r="AS1" i="11"/>
  <c r="AR1" i="11"/>
  <c r="AQ1" i="11"/>
  <c r="AP1" i="11"/>
  <c r="AO1" i="11"/>
  <c r="AN1" i="11"/>
  <c r="AM1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D3" i="11"/>
  <c r="C3" i="11"/>
  <c r="Q2" i="11"/>
  <c r="P2" i="11"/>
  <c r="O2" i="11"/>
  <c r="N2" i="11"/>
  <c r="M2" i="11"/>
  <c r="L2" i="11"/>
  <c r="K2" i="11"/>
  <c r="J2" i="11"/>
  <c r="I2" i="11"/>
  <c r="H2" i="11"/>
  <c r="G2" i="11"/>
  <c r="F2" i="11"/>
  <c r="E2" i="11"/>
  <c r="D2" i="11"/>
  <c r="C2" i="11"/>
  <c r="Q1" i="11"/>
  <c r="P1" i="11"/>
  <c r="O1" i="11"/>
  <c r="N1" i="11"/>
  <c r="M1" i="11"/>
  <c r="L1" i="11"/>
  <c r="K1" i="11"/>
  <c r="J1" i="11"/>
  <c r="I1" i="11"/>
  <c r="H1" i="11"/>
  <c r="G1" i="11"/>
  <c r="F1" i="11"/>
  <c r="E1" i="11"/>
  <c r="D1" i="11"/>
  <c r="C1" i="11"/>
  <c r="B91" i="11"/>
  <c r="B92" i="11"/>
  <c r="B93" i="11"/>
  <c r="B94" i="11"/>
  <c r="B95" i="11"/>
  <c r="B96" i="11"/>
  <c r="B97" i="11"/>
  <c r="B98" i="11"/>
  <c r="B99" i="11"/>
  <c r="B77" i="11"/>
  <c r="B78" i="11"/>
  <c r="B79" i="11"/>
  <c r="B80" i="11"/>
  <c r="B81" i="11"/>
  <c r="B82" i="11"/>
  <c r="B83" i="11"/>
  <c r="B84" i="11"/>
  <c r="B85" i="11"/>
  <c r="B86" i="11"/>
  <c r="B87" i="11"/>
  <c r="B88" i="11"/>
  <c r="B89" i="11"/>
  <c r="B90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62" i="11"/>
  <c r="B61" i="11"/>
  <c r="B60" i="11"/>
  <c r="B59" i="11"/>
  <c r="B58" i="11"/>
  <c r="B57" i="11"/>
  <c r="B56" i="11"/>
  <c r="B55" i="11"/>
  <c r="B54" i="11"/>
  <c r="B53" i="11"/>
  <c r="B52" i="11"/>
  <c r="B51" i="11"/>
  <c r="B50" i="11"/>
  <c r="B49" i="11"/>
  <c r="B48" i="11"/>
  <c r="B47" i="11"/>
  <c r="B46" i="11"/>
  <c r="B45" i="11"/>
  <c r="B44" i="11"/>
  <c r="B43" i="11"/>
  <c r="B42" i="11"/>
  <c r="B41" i="11"/>
  <c r="B40" i="11"/>
  <c r="B39" i="11"/>
  <c r="B38" i="11"/>
  <c r="B37" i="11"/>
  <c r="B36" i="11"/>
  <c r="B35" i="11"/>
  <c r="B34" i="11"/>
  <c r="B33" i="11"/>
  <c r="B32" i="11"/>
  <c r="B31" i="11"/>
  <c r="B30" i="11"/>
  <c r="B29" i="11"/>
  <c r="B28" i="11"/>
  <c r="B27" i="11"/>
  <c r="B26" i="11"/>
  <c r="B25" i="11"/>
  <c r="B24" i="11"/>
  <c r="B23" i="11"/>
  <c r="B22" i="11"/>
  <c r="B21" i="11"/>
  <c r="B20" i="11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3" i="11"/>
  <c r="B2" i="11"/>
  <c r="B1" i="11"/>
  <c r="AP61" i="8"/>
  <c r="AP60" i="8"/>
  <c r="AP59" i="8"/>
  <c r="AP58" i="8"/>
  <c r="AP57" i="8"/>
  <c r="AP56" i="8"/>
  <c r="AP55" i="8"/>
  <c r="AP54" i="8"/>
  <c r="AP53" i="8"/>
  <c r="AP52" i="8"/>
  <c r="AP51" i="8"/>
  <c r="AP50" i="8"/>
  <c r="AP49" i="8"/>
  <c r="AP48" i="8"/>
  <c r="AP47" i="8"/>
  <c r="AP46" i="8"/>
  <c r="AP45" i="8"/>
  <c r="AP44" i="8"/>
  <c r="AP43" i="8"/>
  <c r="AP42" i="8"/>
  <c r="AP41" i="8"/>
  <c r="AP40" i="8"/>
  <c r="AP39" i="8"/>
  <c r="AP38" i="8"/>
  <c r="AP37" i="8"/>
  <c r="AP36" i="8"/>
  <c r="AP35" i="8"/>
  <c r="AP34" i="8"/>
  <c r="AP33" i="8"/>
  <c r="AP32" i="8"/>
  <c r="AP31" i="8"/>
  <c r="AP30" i="8"/>
  <c r="AP29" i="8"/>
  <c r="AP28" i="8"/>
  <c r="AP27" i="8"/>
  <c r="AP26" i="8"/>
  <c r="AP25" i="8"/>
  <c r="AP24" i="8"/>
  <c r="AP23" i="8"/>
  <c r="AP22" i="8"/>
  <c r="AP21" i="8"/>
  <c r="AP20" i="8"/>
  <c r="AP19" i="8"/>
  <c r="AP18" i="8"/>
  <c r="AP17" i="8"/>
  <c r="AP16" i="8"/>
  <c r="AP15" i="8"/>
  <c r="AP14" i="8"/>
  <c r="AP13" i="8"/>
  <c r="AP12" i="8"/>
  <c r="AP11" i="8"/>
  <c r="AP10" i="8"/>
  <c r="AP9" i="8"/>
  <c r="AP8" i="8"/>
  <c r="AP7" i="8"/>
  <c r="L79" i="1"/>
  <c r="L78" i="1"/>
  <c r="F57" i="1"/>
  <c r="M57" i="1" s="1"/>
  <c r="L57" i="1"/>
  <c r="F55" i="1"/>
  <c r="M55" i="1" s="1"/>
  <c r="L55" i="1"/>
  <c r="F56" i="1"/>
  <c r="M56" i="1" s="1"/>
  <c r="L56" i="1"/>
  <c r="L77" i="1"/>
  <c r="M76" i="1"/>
  <c r="L76" i="1"/>
  <c r="F54" i="1"/>
  <c r="M54" i="1" s="1"/>
  <c r="L54" i="1"/>
  <c r="F51" i="1"/>
  <c r="M51" i="1" s="1"/>
  <c r="L51" i="1"/>
  <c r="L48" i="1"/>
  <c r="F53" i="1"/>
  <c r="M53" i="1" s="1"/>
  <c r="L53" i="1"/>
  <c r="F50" i="1"/>
  <c r="M50" i="1" s="1"/>
  <c r="L50" i="1"/>
  <c r="F46" i="1"/>
  <c r="M46" i="1" s="1"/>
  <c r="L46" i="1"/>
  <c r="F49" i="1"/>
  <c r="M49" i="1" s="1"/>
  <c r="L49" i="1"/>
  <c r="L75" i="1"/>
  <c r="F52" i="1"/>
  <c r="M52" i="1" s="1"/>
  <c r="L52" i="1"/>
  <c r="L44" i="1"/>
  <c r="L42" i="1"/>
  <c r="L43" i="1"/>
  <c r="L45" i="1"/>
  <c r="F45" i="1"/>
  <c r="M45" i="1" s="1"/>
  <c r="F43" i="1"/>
  <c r="M43" i="1" s="1"/>
  <c r="F42" i="1"/>
  <c r="M42" i="1" s="1"/>
  <c r="F44" i="1"/>
  <c r="M44" i="1" s="1"/>
  <c r="L41" i="1"/>
  <c r="F41" i="1"/>
  <c r="M41" i="1" s="1"/>
  <c r="H39" i="1"/>
  <c r="L38" i="1"/>
  <c r="H38" i="1"/>
  <c r="K34" i="1"/>
  <c r="M34" i="1" s="1"/>
  <c r="L36" i="1"/>
  <c r="H36" i="1"/>
  <c r="F40" i="1"/>
  <c r="M40" i="1" s="1"/>
  <c r="F26" i="1"/>
  <c r="M26" i="1" s="1"/>
  <c r="F25" i="1"/>
  <c r="M25" i="1" s="1"/>
  <c r="H35" i="1"/>
  <c r="H34" i="1"/>
  <c r="H33" i="1"/>
  <c r="H31" i="1"/>
  <c r="H30" i="1"/>
  <c r="H29" i="1"/>
  <c r="H28" i="1"/>
  <c r="H27" i="1"/>
  <c r="H24" i="1"/>
  <c r="L35" i="1"/>
  <c r="F32" i="1"/>
  <c r="K32" i="1" s="1"/>
  <c r="M32" i="1" s="1"/>
  <c r="K33" i="1"/>
  <c r="M33" i="1" s="1"/>
  <c r="K30" i="1"/>
  <c r="M30" i="1" s="1"/>
  <c r="K29" i="1"/>
  <c r="M29" i="1" s="1"/>
  <c r="C7" i="8"/>
  <c r="C8" i="8" s="1"/>
  <c r="C9" i="8" s="1"/>
  <c r="C10" i="8" s="1"/>
  <c r="C11" i="8" s="1"/>
  <c r="C12" i="8" s="1"/>
  <c r="C13" i="8" s="1"/>
  <c r="C14" i="8" s="1"/>
  <c r="C15" i="8" s="1"/>
  <c r="C16" i="8" s="1"/>
  <c r="C17" i="8" s="1"/>
  <c r="C18" i="8" s="1"/>
  <c r="A4" i="9"/>
  <c r="A5" i="9"/>
  <c r="A6" i="9"/>
  <c r="A3" i="9"/>
  <c r="AQ61" i="8"/>
  <c r="AO61" i="8"/>
  <c r="AN61" i="8"/>
  <c r="AM61" i="8"/>
  <c r="AL61" i="8"/>
  <c r="AK61" i="8"/>
  <c r="AJ61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AQ60" i="8"/>
  <c r="AO60" i="8"/>
  <c r="AN60" i="8"/>
  <c r="AM60" i="8"/>
  <c r="AL60" i="8"/>
  <c r="AK60" i="8"/>
  <c r="AJ60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AQ59" i="8"/>
  <c r="AO59" i="8"/>
  <c r="AN59" i="8"/>
  <c r="AM59" i="8"/>
  <c r="AL59" i="8"/>
  <c r="AK59" i="8"/>
  <c r="AJ59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AQ58" i="8"/>
  <c r="AO58" i="8"/>
  <c r="AN58" i="8"/>
  <c r="AM58" i="8"/>
  <c r="AL58" i="8"/>
  <c r="AK58" i="8"/>
  <c r="AJ58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AQ57" i="8"/>
  <c r="AO57" i="8"/>
  <c r="AN57" i="8"/>
  <c r="AM57" i="8"/>
  <c r="AL57" i="8"/>
  <c r="AK57" i="8"/>
  <c r="AJ57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AQ56" i="8"/>
  <c r="AO56" i="8"/>
  <c r="AN56" i="8"/>
  <c r="AM56" i="8"/>
  <c r="AL56" i="8"/>
  <c r="AK56" i="8"/>
  <c r="AJ56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AQ55" i="8"/>
  <c r="AO55" i="8"/>
  <c r="AN55" i="8"/>
  <c r="AM55" i="8"/>
  <c r="AL55" i="8"/>
  <c r="AK55" i="8"/>
  <c r="AJ55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AQ54" i="8"/>
  <c r="AO54" i="8"/>
  <c r="AN54" i="8"/>
  <c r="AM54" i="8"/>
  <c r="AL54" i="8"/>
  <c r="AK54" i="8"/>
  <c r="AJ54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AQ53" i="8"/>
  <c r="AO53" i="8"/>
  <c r="AN53" i="8"/>
  <c r="AM53" i="8"/>
  <c r="AL53" i="8"/>
  <c r="AK53" i="8"/>
  <c r="AJ53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AQ52" i="8"/>
  <c r="AO52" i="8"/>
  <c r="AN52" i="8"/>
  <c r="AM52" i="8"/>
  <c r="AL52" i="8"/>
  <c r="AK52" i="8"/>
  <c r="AJ52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AQ51" i="8"/>
  <c r="AO51" i="8"/>
  <c r="AN51" i="8"/>
  <c r="AM51" i="8"/>
  <c r="AL51" i="8"/>
  <c r="AK51" i="8"/>
  <c r="AJ51" i="8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AQ50" i="8"/>
  <c r="AO50" i="8"/>
  <c r="AN50" i="8"/>
  <c r="AM50" i="8"/>
  <c r="AL50" i="8"/>
  <c r="AK50" i="8"/>
  <c r="AJ50" i="8"/>
  <c r="AI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S50" i="8"/>
  <c r="R50" i="8"/>
  <c r="Q50" i="8"/>
  <c r="P50" i="8"/>
  <c r="O50" i="8"/>
  <c r="N50" i="8"/>
  <c r="M50" i="8"/>
  <c r="L50" i="8"/>
  <c r="K50" i="8"/>
  <c r="J50" i="8"/>
  <c r="I50" i="8"/>
  <c r="H50" i="8"/>
  <c r="G50" i="8"/>
  <c r="F50" i="8"/>
  <c r="AQ49" i="8"/>
  <c r="AO49" i="8"/>
  <c r="AN49" i="8"/>
  <c r="AM49" i="8"/>
  <c r="AL49" i="8"/>
  <c r="AK49" i="8"/>
  <c r="AJ49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AQ48" i="8"/>
  <c r="AO48" i="8"/>
  <c r="AN48" i="8"/>
  <c r="AM48" i="8"/>
  <c r="AL48" i="8"/>
  <c r="AK48" i="8"/>
  <c r="AJ48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AQ47" i="8"/>
  <c r="AO47" i="8"/>
  <c r="AN47" i="8"/>
  <c r="AM47" i="8"/>
  <c r="AL47" i="8"/>
  <c r="AK47" i="8"/>
  <c r="AJ47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AQ46" i="8"/>
  <c r="AO46" i="8"/>
  <c r="AN46" i="8"/>
  <c r="AM46" i="8"/>
  <c r="AL46" i="8"/>
  <c r="AK46" i="8"/>
  <c r="AJ46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AQ45" i="8"/>
  <c r="AO45" i="8"/>
  <c r="AN45" i="8"/>
  <c r="AM45" i="8"/>
  <c r="AL45" i="8"/>
  <c r="AK45" i="8"/>
  <c r="AJ45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AQ44" i="8"/>
  <c r="AO44" i="8"/>
  <c r="AN44" i="8"/>
  <c r="AM44" i="8"/>
  <c r="AL44" i="8"/>
  <c r="AK44" i="8"/>
  <c r="AJ44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AQ43" i="8"/>
  <c r="AO43" i="8"/>
  <c r="AN43" i="8"/>
  <c r="AM43" i="8"/>
  <c r="AL43" i="8"/>
  <c r="AK43" i="8"/>
  <c r="AJ43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AQ42" i="8"/>
  <c r="AO42" i="8"/>
  <c r="AN42" i="8"/>
  <c r="AM42" i="8"/>
  <c r="AL42" i="8"/>
  <c r="AK42" i="8"/>
  <c r="AJ42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AQ41" i="8"/>
  <c r="AO41" i="8"/>
  <c r="AN41" i="8"/>
  <c r="AM41" i="8"/>
  <c r="AL41" i="8"/>
  <c r="AK41" i="8"/>
  <c r="AJ41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AQ40" i="8"/>
  <c r="AO40" i="8"/>
  <c r="AN40" i="8"/>
  <c r="AM40" i="8"/>
  <c r="AL40" i="8"/>
  <c r="AK40" i="8"/>
  <c r="AJ40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AQ39" i="8"/>
  <c r="AO39" i="8"/>
  <c r="AN39" i="8"/>
  <c r="AM39" i="8"/>
  <c r="AL39" i="8"/>
  <c r="AK39" i="8"/>
  <c r="AJ39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AQ38" i="8"/>
  <c r="AO38" i="8"/>
  <c r="AN38" i="8"/>
  <c r="AM38" i="8"/>
  <c r="AL38" i="8"/>
  <c r="AK38" i="8"/>
  <c r="AJ38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AQ37" i="8"/>
  <c r="AO37" i="8"/>
  <c r="AN37" i="8"/>
  <c r="AM37" i="8"/>
  <c r="AL37" i="8"/>
  <c r="AK37" i="8"/>
  <c r="AJ37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AQ36" i="8"/>
  <c r="AO36" i="8"/>
  <c r="AN36" i="8"/>
  <c r="AM36" i="8"/>
  <c r="AL36" i="8"/>
  <c r="AK36" i="8"/>
  <c r="AJ36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AQ35" i="8"/>
  <c r="AO35" i="8"/>
  <c r="AN35" i="8"/>
  <c r="AM35" i="8"/>
  <c r="AL35" i="8"/>
  <c r="AK35" i="8"/>
  <c r="AJ35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AQ34" i="8"/>
  <c r="AO34" i="8"/>
  <c r="AN34" i="8"/>
  <c r="AM34" i="8"/>
  <c r="AL34" i="8"/>
  <c r="AK34" i="8"/>
  <c r="AJ34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AQ33" i="8"/>
  <c r="AO33" i="8"/>
  <c r="AN33" i="8"/>
  <c r="AM33" i="8"/>
  <c r="AL33" i="8"/>
  <c r="AK33" i="8"/>
  <c r="AJ33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AQ32" i="8"/>
  <c r="AO32" i="8"/>
  <c r="AN32" i="8"/>
  <c r="AM32" i="8"/>
  <c r="AL32" i="8"/>
  <c r="AK32" i="8"/>
  <c r="AJ32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AQ31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AQ30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AQ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AQ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AQ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AQ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AQ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AQ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AQ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AQ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AQ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AQ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AQ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AQ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AQ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AQ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AQ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AQ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AQ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AQ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AQ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AQ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AQ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AQ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AQ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L47" i="1"/>
  <c r="F47" i="1"/>
  <c r="M47" i="1" s="1"/>
  <c r="F23" i="1"/>
  <c r="L31" i="1"/>
  <c r="L93" i="1"/>
  <c r="L25" i="1"/>
  <c r="B53" i="8"/>
  <c r="L22" i="1"/>
  <c r="H22" i="1"/>
  <c r="L40" i="1"/>
  <c r="L26" i="1"/>
  <c r="L39" i="1"/>
  <c r="B47" i="8"/>
  <c r="B52" i="8"/>
  <c r="L24" i="1"/>
  <c r="L37" i="1"/>
  <c r="H37" i="1"/>
  <c r="L21" i="1"/>
  <c r="H21" i="1"/>
  <c r="L23" i="1"/>
  <c r="L27" i="1"/>
  <c r="B43" i="8"/>
  <c r="L17" i="1"/>
  <c r="H17" i="1"/>
  <c r="L20" i="1"/>
  <c r="H20" i="1"/>
  <c r="B52" i="9" l="1"/>
  <c r="B53" i="9"/>
  <c r="B54" i="9"/>
  <c r="B56" i="9"/>
  <c r="B55" i="9"/>
  <c r="B57" i="9"/>
  <c r="BO112" i="8"/>
  <c r="BO114" i="8"/>
  <c r="BO113" i="8"/>
  <c r="H23" i="1"/>
  <c r="M23" i="1"/>
  <c r="M79" i="1"/>
  <c r="M77" i="1"/>
  <c r="M75" i="1"/>
  <c r="M78" i="1"/>
  <c r="H40" i="1"/>
  <c r="B97" i="8"/>
  <c r="B65" i="8"/>
  <c r="B80" i="8"/>
  <c r="B78" i="8"/>
  <c r="L34" i="1"/>
  <c r="B17" i="9"/>
  <c r="B41" i="9"/>
  <c r="B42" i="9"/>
  <c r="B19" i="9"/>
  <c r="B29" i="9"/>
  <c r="B30" i="9"/>
  <c r="B8" i="9"/>
  <c r="B20" i="9"/>
  <c r="B32" i="9"/>
  <c r="B44" i="9"/>
  <c r="B7" i="9"/>
  <c r="B31" i="9"/>
  <c r="B43" i="9"/>
  <c r="B9" i="9"/>
  <c r="B21" i="9"/>
  <c r="B33" i="9"/>
  <c r="B45" i="9"/>
  <c r="B34" i="9"/>
  <c r="B46" i="9"/>
  <c r="B23" i="9"/>
  <c r="B24" i="9"/>
  <c r="B36" i="9"/>
  <c r="B48" i="9"/>
  <c r="B25" i="9"/>
  <c r="B37" i="9"/>
  <c r="B49" i="9"/>
  <c r="B35" i="9"/>
  <c r="B12" i="9"/>
  <c r="B14" i="9"/>
  <c r="B26" i="9"/>
  <c r="B38" i="9"/>
  <c r="B50" i="9"/>
  <c r="B18" i="9"/>
  <c r="B13" i="9"/>
  <c r="B15" i="9"/>
  <c r="B27" i="9"/>
  <c r="B39" i="9"/>
  <c r="B51" i="9"/>
  <c r="B10" i="9"/>
  <c r="B22" i="9"/>
  <c r="B11" i="9"/>
  <c r="B47" i="9"/>
  <c r="B16" i="9"/>
  <c r="B28" i="9"/>
  <c r="B40" i="9"/>
  <c r="C14" i="11"/>
  <c r="A13" i="11"/>
  <c r="BK103" i="11"/>
  <c r="BK104" i="11" s="1"/>
  <c r="BK105" i="11" s="1"/>
  <c r="BK106" i="11" s="1"/>
  <c r="BK107" i="11" s="1"/>
  <c r="BK108" i="11" s="1"/>
  <c r="BK109" i="11" s="1"/>
  <c r="BK110" i="11" s="1"/>
  <c r="BF87" i="11"/>
  <c r="BF88" i="11" s="1"/>
  <c r="BF89" i="11" s="1"/>
  <c r="BF90" i="11" s="1"/>
  <c r="BF91" i="11" s="1"/>
  <c r="BF92" i="11" s="1"/>
  <c r="BF93" i="11" s="1"/>
  <c r="BF94" i="11" s="1"/>
  <c r="BF95" i="11" s="1"/>
  <c r="BF96" i="11" s="1"/>
  <c r="BF97" i="11" s="1"/>
  <c r="BF98" i="11" s="1"/>
  <c r="BF99" i="11" s="1"/>
  <c r="BF100" i="11" s="1"/>
  <c r="BF101" i="11" s="1"/>
  <c r="BF102" i="11" s="1"/>
  <c r="BF103" i="11" s="1"/>
  <c r="BG86" i="11"/>
  <c r="BG87" i="11" s="1"/>
  <c r="BG88" i="11" s="1"/>
  <c r="BG89" i="11" s="1"/>
  <c r="BG90" i="11" s="1"/>
  <c r="BG91" i="11" s="1"/>
  <c r="BG92" i="11" s="1"/>
  <c r="BG93" i="11" s="1"/>
  <c r="BG94" i="11" s="1"/>
  <c r="BG95" i="11" s="1"/>
  <c r="BG96" i="11" s="1"/>
  <c r="BG97" i="11" s="1"/>
  <c r="BG98" i="11" s="1"/>
  <c r="BG99" i="11" s="1"/>
  <c r="BG100" i="11" s="1"/>
  <c r="BG101" i="11" s="1"/>
  <c r="BG102" i="11" s="1"/>
  <c r="BG103" i="11" s="1"/>
  <c r="BG104" i="11" s="1"/>
  <c r="BG105" i="11" s="1"/>
  <c r="BG106" i="11" s="1"/>
  <c r="BG107" i="11" s="1"/>
  <c r="BG108" i="11" s="1"/>
  <c r="BG109" i="11" s="1"/>
  <c r="BG110" i="11" s="1"/>
  <c r="BG111" i="11" s="1"/>
  <c r="AB17" i="11"/>
  <c r="V32" i="11"/>
  <c r="T36" i="11"/>
  <c r="B94" i="8"/>
  <c r="L33" i="1"/>
  <c r="H32" i="1"/>
  <c r="L32" i="1"/>
  <c r="B45" i="8"/>
  <c r="A19" i="8"/>
  <c r="A30" i="8"/>
  <c r="A45" i="8"/>
  <c r="A38" i="8"/>
  <c r="A61" i="8"/>
  <c r="A27" i="8"/>
  <c r="A46" i="8"/>
  <c r="A53" i="8"/>
  <c r="A36" i="8"/>
  <c r="A54" i="8"/>
  <c r="A15" i="8"/>
  <c r="A49" i="8"/>
  <c r="A57" i="8"/>
  <c r="A9" i="8"/>
  <c r="A10" i="8"/>
  <c r="A17" i="8"/>
  <c r="A18" i="8"/>
  <c r="A26" i="8"/>
  <c r="A35" i="8"/>
  <c r="A43" i="8"/>
  <c r="A44" i="8"/>
  <c r="A51" i="8"/>
  <c r="A52" i="8"/>
  <c r="A28" i="8"/>
  <c r="A23" i="8"/>
  <c r="A31" i="8"/>
  <c r="A13" i="8"/>
  <c r="A21" i="8"/>
  <c r="A39" i="8"/>
  <c r="A47" i="8"/>
  <c r="A60" i="8"/>
  <c r="A7" i="8"/>
  <c r="A11" i="8"/>
  <c r="A24" i="8"/>
  <c r="A25" i="8"/>
  <c r="A29" i="8"/>
  <c r="A32" i="8"/>
  <c r="A33" i="8"/>
  <c r="A37" i="8"/>
  <c r="A41" i="8"/>
  <c r="A50" i="8"/>
  <c r="A55" i="8"/>
  <c r="A58" i="8"/>
  <c r="A59" i="8"/>
  <c r="A12" i="8"/>
  <c r="A8" i="8"/>
  <c r="A20" i="8"/>
  <c r="A16" i="8"/>
  <c r="A34" i="8"/>
  <c r="A42" i="8"/>
  <c r="A14" i="8"/>
  <c r="A22" i="8"/>
  <c r="A40" i="8"/>
  <c r="A48" i="8"/>
  <c r="A56" i="8"/>
  <c r="A7" i="11"/>
  <c r="D7" i="8" s="1"/>
  <c r="C3" i="9" s="1"/>
  <c r="A8" i="11"/>
  <c r="D8" i="8" s="1"/>
  <c r="C4" i="9" s="1"/>
  <c r="A10" i="11"/>
  <c r="D10" i="8" s="1"/>
  <c r="C6" i="9" s="1"/>
  <c r="A9" i="11"/>
  <c r="D9" i="8" s="1"/>
  <c r="C5" i="9" s="1"/>
  <c r="D12" i="8"/>
  <c r="C8" i="9" s="1"/>
  <c r="D11" i="8"/>
  <c r="C7" i="9" s="1"/>
  <c r="B6" i="9"/>
  <c r="B5" i="9"/>
  <c r="B4" i="9"/>
  <c r="B3" i="9"/>
  <c r="B57" i="8"/>
  <c r="L16" i="1"/>
  <c r="F16" i="1"/>
  <c r="L29" i="1"/>
  <c r="L8" i="1"/>
  <c r="H8" i="1"/>
  <c r="L7" i="1"/>
  <c r="H7" i="1"/>
  <c r="L6" i="1"/>
  <c r="H6" i="1"/>
  <c r="L5" i="1"/>
  <c r="H5" i="1"/>
  <c r="L30" i="1"/>
  <c r="L4" i="1"/>
  <c r="H10" i="1"/>
  <c r="H4" i="1"/>
  <c r="L10" i="1"/>
  <c r="L14" i="1"/>
  <c r="F14" i="1"/>
  <c r="L3" i="1"/>
  <c r="H3" i="1"/>
  <c r="L11" i="1"/>
  <c r="H11" i="1"/>
  <c r="L12" i="1"/>
  <c r="H12" i="1"/>
  <c r="L28" i="1"/>
  <c r="L18" i="1"/>
  <c r="L9" i="1"/>
  <c r="H18" i="1"/>
  <c r="H9" i="1"/>
  <c r="L13" i="1"/>
  <c r="L19" i="1"/>
  <c r="H13" i="1"/>
  <c r="H19" i="1"/>
  <c r="L15" i="1"/>
  <c r="H15" i="1"/>
  <c r="B108" i="9" l="1"/>
  <c r="A112" i="8"/>
  <c r="A114" i="8"/>
  <c r="B110" i="9"/>
  <c r="A113" i="8"/>
  <c r="B109" i="9"/>
  <c r="D8" i="9"/>
  <c r="BG112" i="11"/>
  <c r="A111" i="11"/>
  <c r="D7" i="9"/>
  <c r="M16" i="1"/>
  <c r="B40" i="8" s="1"/>
  <c r="M14" i="1"/>
  <c r="B72" i="8"/>
  <c r="B82" i="8"/>
  <c r="B68" i="8"/>
  <c r="BF104" i="11"/>
  <c r="AV73" i="11"/>
  <c r="AV74" i="11" s="1"/>
  <c r="AV75" i="11" s="1"/>
  <c r="AV76" i="11" s="1"/>
  <c r="AV77" i="11" s="1"/>
  <c r="AV78" i="11" s="1"/>
  <c r="AV79" i="11" s="1"/>
  <c r="AV80" i="11" s="1"/>
  <c r="AV81" i="11" s="1"/>
  <c r="AV82" i="11" s="1"/>
  <c r="AV83" i="11" s="1"/>
  <c r="AV84" i="11" s="1"/>
  <c r="AV85" i="11" s="1"/>
  <c r="AV86" i="11" s="1"/>
  <c r="AV87" i="11" s="1"/>
  <c r="AV88" i="11" s="1"/>
  <c r="AV89" i="11" s="1"/>
  <c r="AV90" i="11" s="1"/>
  <c r="AV91" i="11" s="1"/>
  <c r="AV92" i="11" s="1"/>
  <c r="AV93" i="11" s="1"/>
  <c r="AV94" i="11" s="1"/>
  <c r="AV95" i="11" s="1"/>
  <c r="AV96" i="11" s="1"/>
  <c r="AV97" i="11" s="1"/>
  <c r="AV98" i="11" s="1"/>
  <c r="AV99" i="11" s="1"/>
  <c r="AV100" i="11" s="1"/>
  <c r="AV101" i="11" s="1"/>
  <c r="AV102" i="11" s="1"/>
  <c r="C15" i="11"/>
  <c r="A14" i="11"/>
  <c r="D14" i="8" s="1"/>
  <c r="C10" i="9" s="1"/>
  <c r="D10" i="9" s="1"/>
  <c r="AB18" i="11"/>
  <c r="V33" i="11"/>
  <c r="T37" i="11"/>
  <c r="B26" i="8"/>
  <c r="D3" i="9"/>
  <c r="D4" i="9"/>
  <c r="D5" i="9"/>
  <c r="B27" i="8"/>
  <c r="B19" i="8"/>
  <c r="C19" i="8" s="1"/>
  <c r="C20" i="8" s="1"/>
  <c r="C21" i="8" s="1"/>
  <c r="C22" i="8" s="1"/>
  <c r="C23" i="8" s="1"/>
  <c r="C24" i="8" s="1"/>
  <c r="B25" i="8"/>
  <c r="D6" i="9"/>
  <c r="D13" i="8"/>
  <c r="C9" i="9" s="1"/>
  <c r="D9" i="9" s="1"/>
  <c r="H16" i="1"/>
  <c r="H14" i="1"/>
  <c r="BG113" i="11" l="1"/>
  <c r="A112" i="11"/>
  <c r="B28" i="8"/>
  <c r="A102" i="11"/>
  <c r="AV103" i="11"/>
  <c r="C16" i="11"/>
  <c r="A15" i="11"/>
  <c r="D15" i="8" s="1"/>
  <c r="C11" i="9" s="1"/>
  <c r="D11" i="9" s="1"/>
  <c r="C25" i="8"/>
  <c r="C26" i="8" s="1"/>
  <c r="C27" i="8" s="1"/>
  <c r="E9" i="9"/>
  <c r="E8" i="9"/>
  <c r="E7" i="9"/>
  <c r="E10" i="9"/>
  <c r="AB19" i="11"/>
  <c r="V34" i="11"/>
  <c r="T38" i="11"/>
  <c r="A64" i="11"/>
  <c r="E5" i="9"/>
  <c r="E4" i="9"/>
  <c r="E6" i="9"/>
  <c r="BG114" i="11" l="1"/>
  <c r="A113" i="11"/>
  <c r="C28" i="8"/>
  <c r="C29" i="8" s="1"/>
  <c r="C30" i="8" s="1"/>
  <c r="C31" i="8" s="1"/>
  <c r="C32" i="8" s="1"/>
  <c r="C33" i="8" s="1"/>
  <c r="C34" i="8" s="1"/>
  <c r="C35" i="8" s="1"/>
  <c r="C36" i="8" s="1"/>
  <c r="C37" i="8" s="1"/>
  <c r="C38" i="8" s="1"/>
  <c r="C39" i="8" s="1"/>
  <c r="C40" i="8" s="1"/>
  <c r="C41" i="8" s="1"/>
  <c r="C42" i="8" s="1"/>
  <c r="C43" i="8" s="1"/>
  <c r="C44" i="8" s="1"/>
  <c r="C45" i="8" s="1"/>
  <c r="C46" i="8" s="1"/>
  <c r="C47" i="8" s="1"/>
  <c r="C48" i="8" s="1"/>
  <c r="C49" i="8" s="1"/>
  <c r="C50" i="8" s="1"/>
  <c r="C51" i="8" s="1"/>
  <c r="C52" i="8" s="1"/>
  <c r="C53" i="8" s="1"/>
  <c r="C54" i="8" s="1"/>
  <c r="C55" i="8" s="1"/>
  <c r="C56" i="8" s="1"/>
  <c r="C57" i="8" s="1"/>
  <c r="AV104" i="11"/>
  <c r="A103" i="11"/>
  <c r="C17" i="11"/>
  <c r="A16" i="11"/>
  <c r="E11" i="9"/>
  <c r="AB20" i="11"/>
  <c r="V35" i="11"/>
  <c r="T39" i="11"/>
  <c r="A65" i="11"/>
  <c r="BG115" i="11" l="1"/>
  <c r="A115" i="11" s="1"/>
  <c r="A114" i="11"/>
  <c r="AV105" i="11"/>
  <c r="A104" i="11"/>
  <c r="C18" i="11"/>
  <c r="A17" i="11"/>
  <c r="A20" i="11"/>
  <c r="D20" i="8" s="1"/>
  <c r="C16" i="9" s="1"/>
  <c r="D16" i="9" s="1"/>
  <c r="AB21" i="11"/>
  <c r="V36" i="11"/>
  <c r="T40" i="11"/>
  <c r="D16" i="8"/>
  <c r="C12" i="9" s="1"/>
  <c r="D12" i="9" s="1"/>
  <c r="AV106" i="11" l="1"/>
  <c r="A105" i="11"/>
  <c r="E12" i="9"/>
  <c r="C19" i="11"/>
  <c r="A19" i="11" s="1"/>
  <c r="A18" i="11"/>
  <c r="E16" i="9"/>
  <c r="A21" i="11"/>
  <c r="AB22" i="11"/>
  <c r="V37" i="11"/>
  <c r="T41" i="11"/>
  <c r="D17" i="8"/>
  <c r="C13" i="9" s="1"/>
  <c r="D13" i="9" s="1"/>
  <c r="AV107" i="11" l="1"/>
  <c r="A106" i="11"/>
  <c r="E13" i="9"/>
  <c r="AB23" i="11"/>
  <c r="A22" i="11"/>
  <c r="V38" i="11"/>
  <c r="T42" i="11"/>
  <c r="A66" i="11"/>
  <c r="D21" i="8"/>
  <c r="C17" i="9" s="1"/>
  <c r="D17" i="9" s="1"/>
  <c r="D18" i="8"/>
  <c r="C14" i="9" s="1"/>
  <c r="D14" i="9" s="1"/>
  <c r="AV108" i="11" l="1"/>
  <c r="A107" i="11"/>
  <c r="E14" i="9"/>
  <c r="E17" i="9"/>
  <c r="A23" i="11"/>
  <c r="AB24" i="11"/>
  <c r="V39" i="11"/>
  <c r="T43" i="11"/>
  <c r="A67" i="11"/>
  <c r="D22" i="8"/>
  <c r="C18" i="9" s="1"/>
  <c r="D18" i="9" s="1"/>
  <c r="D19" i="8"/>
  <c r="C15" i="9" s="1"/>
  <c r="D15" i="9" s="1"/>
  <c r="AV109" i="11" l="1"/>
  <c r="A108" i="11"/>
  <c r="E15" i="9"/>
  <c r="E18" i="9"/>
  <c r="A24" i="11"/>
  <c r="AB25" i="11"/>
  <c r="V40" i="11"/>
  <c r="T44" i="11"/>
  <c r="A68" i="11"/>
  <c r="D23" i="8"/>
  <c r="C19" i="9" s="1"/>
  <c r="D19" i="9" s="1"/>
  <c r="AV110" i="11" l="1"/>
  <c r="A110" i="11" s="1"/>
  <c r="A109" i="11"/>
  <c r="E19" i="9"/>
  <c r="AB26" i="11"/>
  <c r="A25" i="11"/>
  <c r="V41" i="11"/>
  <c r="T45" i="11"/>
  <c r="A69" i="11"/>
  <c r="D24" i="8"/>
  <c r="C20" i="9" s="1"/>
  <c r="D20" i="9" s="1"/>
  <c r="E20" i="9" l="1"/>
  <c r="A26" i="11"/>
  <c r="AB27" i="11"/>
  <c r="V42" i="11"/>
  <c r="T46" i="11"/>
  <c r="A70" i="11"/>
  <c r="D25" i="8"/>
  <c r="C21" i="9" s="1"/>
  <c r="D21" i="9" s="1"/>
  <c r="E21" i="9" l="1"/>
  <c r="A27" i="11"/>
  <c r="AB28" i="11"/>
  <c r="V43" i="11"/>
  <c r="T47" i="11"/>
  <c r="AB29" i="11" l="1"/>
  <c r="A28" i="11"/>
  <c r="V44" i="11"/>
  <c r="AB30" i="11" l="1"/>
  <c r="A29" i="11"/>
  <c r="V45" i="11"/>
  <c r="A71" i="11"/>
  <c r="D26" i="8"/>
  <c r="C22" i="9" s="1"/>
  <c r="D22" i="9" s="1"/>
  <c r="E22" i="9" l="1"/>
  <c r="AB31" i="11"/>
  <c r="A30" i="11"/>
  <c r="V46" i="11"/>
  <c r="A72" i="11"/>
  <c r="D27" i="8"/>
  <c r="C23" i="9" s="1"/>
  <c r="D23" i="9" s="1"/>
  <c r="E23" i="9" l="1"/>
  <c r="AB32" i="11"/>
  <c r="A31" i="11"/>
  <c r="V47" i="11"/>
  <c r="A73" i="11"/>
  <c r="D28" i="8"/>
  <c r="C24" i="9" s="1"/>
  <c r="D24" i="9" s="1"/>
  <c r="E24" i="9" l="1"/>
  <c r="AB33" i="11"/>
  <c r="A32" i="11"/>
  <c r="V48" i="11"/>
  <c r="A74" i="11"/>
  <c r="D29" i="8"/>
  <c r="C25" i="9" s="1"/>
  <c r="D25" i="9" s="1"/>
  <c r="E25" i="9" l="1"/>
  <c r="AB34" i="11"/>
  <c r="A33" i="11"/>
  <c r="V49" i="11"/>
  <c r="A75" i="11"/>
  <c r="D30" i="8"/>
  <c r="C26" i="9" s="1"/>
  <c r="D26" i="9" s="1"/>
  <c r="E26" i="9" l="1"/>
  <c r="AB35" i="11"/>
  <c r="A34" i="11"/>
  <c r="V50" i="11"/>
  <c r="AB36" i="11" l="1"/>
  <c r="A35" i="11"/>
  <c r="V51" i="11"/>
  <c r="AB37" i="11" l="1"/>
  <c r="A36" i="11"/>
  <c r="V52" i="11"/>
  <c r="A76" i="11"/>
  <c r="D31" i="8"/>
  <c r="C27" i="9" s="1"/>
  <c r="D27" i="9" s="1"/>
  <c r="E27" i="9" l="1"/>
  <c r="AB38" i="11"/>
  <c r="A37" i="11"/>
  <c r="V53" i="11"/>
  <c r="A77" i="11"/>
  <c r="D32" i="8"/>
  <c r="C28" i="9" s="1"/>
  <c r="D28" i="9" s="1"/>
  <c r="E28" i="9" l="1"/>
  <c r="AB39" i="11"/>
  <c r="A38" i="11"/>
  <c r="A78" i="11"/>
  <c r="D33" i="8"/>
  <c r="C29" i="9" s="1"/>
  <c r="D29" i="9" s="1"/>
  <c r="E29" i="9" l="1"/>
  <c r="AB40" i="11"/>
  <c r="A39" i="11"/>
  <c r="A79" i="11"/>
  <c r="D34" i="8"/>
  <c r="C30" i="9" s="1"/>
  <c r="D30" i="9" s="1"/>
  <c r="E30" i="9" l="1"/>
  <c r="AB41" i="11"/>
  <c r="A40" i="11"/>
  <c r="A80" i="11"/>
  <c r="D35" i="8"/>
  <c r="C31" i="9" s="1"/>
  <c r="D31" i="9" s="1"/>
  <c r="E31" i="9" l="1"/>
  <c r="AB42" i="11"/>
  <c r="A41" i="11"/>
  <c r="AB43" i="11" l="1"/>
  <c r="A42" i="11"/>
  <c r="AB44" i="11" l="1"/>
  <c r="A43" i="11"/>
  <c r="A81" i="11"/>
  <c r="D36" i="8"/>
  <c r="C32" i="9" s="1"/>
  <c r="D32" i="9" s="1"/>
  <c r="E32" i="9" l="1"/>
  <c r="AB45" i="11"/>
  <c r="A44" i="11"/>
  <c r="A82" i="11"/>
  <c r="D37" i="8"/>
  <c r="C33" i="9" s="1"/>
  <c r="D33" i="9" s="1"/>
  <c r="E33" i="9" l="1"/>
  <c r="AB46" i="11"/>
  <c r="A45" i="11"/>
  <c r="A83" i="11"/>
  <c r="D38" i="8"/>
  <c r="C34" i="9" s="1"/>
  <c r="D34" i="9" s="1"/>
  <c r="E34" i="9" l="1"/>
  <c r="AB47" i="11"/>
  <c r="A46" i="11"/>
  <c r="A84" i="11"/>
  <c r="D39" i="8"/>
  <c r="C35" i="9" s="1"/>
  <c r="D35" i="9" s="1"/>
  <c r="E35" i="9" l="1"/>
  <c r="AB48" i="11"/>
  <c r="A47" i="11"/>
  <c r="A85" i="11"/>
  <c r="D40" i="8"/>
  <c r="C36" i="9" s="1"/>
  <c r="D36" i="9" s="1"/>
  <c r="E36" i="9" l="1"/>
  <c r="AB49" i="11"/>
  <c r="A48" i="11"/>
  <c r="AB50" i="11" l="1"/>
  <c r="A49" i="11"/>
  <c r="AB51" i="11" l="1"/>
  <c r="A50" i="11"/>
  <c r="A86" i="11"/>
  <c r="D41" i="8"/>
  <c r="C37" i="9" s="1"/>
  <c r="D37" i="9" s="1"/>
  <c r="E37" i="9" l="1"/>
  <c r="AB52" i="11"/>
  <c r="A51" i="11"/>
  <c r="A87" i="11"/>
  <c r="D42" i="8"/>
  <c r="C38" i="9" s="1"/>
  <c r="D38" i="9" s="1"/>
  <c r="E38" i="9" l="1"/>
  <c r="AB53" i="11"/>
  <c r="A52" i="11"/>
  <c r="A88" i="11"/>
  <c r="D43" i="8"/>
  <c r="C39" i="9" s="1"/>
  <c r="D39" i="9" s="1"/>
  <c r="E39" i="9" l="1"/>
  <c r="AB54" i="11"/>
  <c r="A53" i="11"/>
  <c r="A89" i="11"/>
  <c r="D44" i="8"/>
  <c r="C40" i="9" s="1"/>
  <c r="D40" i="9" s="1"/>
  <c r="E40" i="9" l="1"/>
  <c r="AB55" i="11"/>
  <c r="A54" i="11"/>
  <c r="A90" i="11"/>
  <c r="D45" i="8"/>
  <c r="C41" i="9" s="1"/>
  <c r="D41" i="9" s="1"/>
  <c r="E41" i="9" l="1"/>
  <c r="AB56" i="11"/>
  <c r="A55" i="11"/>
  <c r="AB57" i="11" l="1"/>
  <c r="A56" i="11"/>
  <c r="AB58" i="11" l="1"/>
  <c r="A57" i="11"/>
  <c r="A91" i="11"/>
  <c r="D46" i="8"/>
  <c r="C42" i="9" s="1"/>
  <c r="D42" i="9" s="1"/>
  <c r="E42" i="9" l="1"/>
  <c r="AB59" i="11"/>
  <c r="A58" i="11"/>
  <c r="A92" i="11"/>
  <c r="D47" i="8"/>
  <c r="C43" i="9" s="1"/>
  <c r="D43" i="9" s="1"/>
  <c r="E43" i="9" l="1"/>
  <c r="AB60" i="11"/>
  <c r="A59" i="11"/>
  <c r="A93" i="11"/>
  <c r="D48" i="8"/>
  <c r="C44" i="9" s="1"/>
  <c r="D44" i="9" s="1"/>
  <c r="E44" i="9" l="1"/>
  <c r="AB61" i="11"/>
  <c r="A60" i="11"/>
  <c r="A94" i="11"/>
  <c r="D49" i="8"/>
  <c r="C45" i="9" s="1"/>
  <c r="D45" i="9" s="1"/>
  <c r="E45" i="9" l="1"/>
  <c r="AB62" i="11"/>
  <c r="A61" i="11"/>
  <c r="A95" i="11"/>
  <c r="D50" i="8"/>
  <c r="C46" i="9" s="1"/>
  <c r="D46" i="9" s="1"/>
  <c r="E46" i="9" l="1"/>
  <c r="AB63" i="11"/>
  <c r="A63" i="11" s="1"/>
  <c r="A62" i="11"/>
  <c r="A96" i="11" l="1"/>
  <c r="D51" i="8"/>
  <c r="C47" i="9" s="1"/>
  <c r="D47" i="9" s="1"/>
  <c r="E47" i="9" l="1"/>
  <c r="A97" i="11"/>
  <c r="D52" i="8"/>
  <c r="C48" i="9" s="1"/>
  <c r="D48" i="9" s="1"/>
  <c r="E48" i="9" l="1"/>
  <c r="A98" i="11"/>
  <c r="D53" i="8"/>
  <c r="C49" i="9" s="1"/>
  <c r="D49" i="9" s="1"/>
  <c r="E49" i="9" l="1"/>
  <c r="A99" i="11"/>
  <c r="D54" i="8"/>
  <c r="C50" i="9" s="1"/>
  <c r="D50" i="9" s="1"/>
  <c r="E50" i="9" l="1"/>
  <c r="A100" i="11"/>
  <c r="D55" i="8"/>
  <c r="C51" i="9" s="1"/>
  <c r="D51" i="9" s="1"/>
  <c r="E51" i="9" l="1"/>
  <c r="A101" i="11" l="1"/>
  <c r="D56" i="8" l="1"/>
  <c r="C52" i="9" s="1"/>
  <c r="D52" i="9" s="1"/>
  <c r="E52" i="9" l="1"/>
  <c r="D57" i="8"/>
  <c r="C53" i="9" l="1"/>
  <c r="D53" i="9" s="1"/>
  <c r="E53" i="9" l="1"/>
  <c r="H25" i="1"/>
  <c r="B58" i="8" l="1"/>
  <c r="C58" i="8" s="1"/>
  <c r="C59" i="8" s="1"/>
  <c r="D59" i="8" s="1"/>
  <c r="C55" i="9" s="1"/>
  <c r="D55" i="9" s="1"/>
  <c r="E55" i="9" l="1"/>
  <c r="D58" i="8"/>
  <c r="C54" i="9" s="1"/>
  <c r="D54" i="9" s="1"/>
  <c r="H26" i="1"/>
  <c r="E54" i="9" l="1"/>
  <c r="B60" i="8"/>
  <c r="C60" i="8" s="1"/>
  <c r="C61" i="8" s="1"/>
  <c r="C62" i="8" s="1"/>
  <c r="D60" i="8" l="1"/>
  <c r="D62" i="8"/>
  <c r="C58" i="9" s="1"/>
  <c r="D58" i="9" s="1"/>
  <c r="E58" i="9" l="1"/>
  <c r="C56" i="9"/>
  <c r="D56" i="9" s="1"/>
  <c r="E56" i="9" l="1"/>
  <c r="B64" i="8" l="1"/>
  <c r="B63" i="8" l="1"/>
  <c r="C63" i="8" s="1"/>
  <c r="C64" i="8" s="1"/>
  <c r="C65" i="8" s="1"/>
  <c r="C66" i="8" s="1"/>
  <c r="C67" i="8" s="1"/>
  <c r="C68" i="8" s="1"/>
  <c r="C69" i="8" s="1"/>
  <c r="C70" i="8" s="1"/>
  <c r="C71" i="8" s="1"/>
  <c r="C72" i="8" s="1"/>
  <c r="C73" i="8" s="1"/>
  <c r="C74" i="8" s="1"/>
  <c r="C75" i="8" s="1"/>
  <c r="C76" i="8" s="1"/>
  <c r="C77" i="8" s="1"/>
  <c r="C78" i="8" s="1"/>
  <c r="C79" i="8" s="1"/>
  <c r="C80" i="8" s="1"/>
  <c r="C81" i="8" s="1"/>
  <c r="C82" i="8" s="1"/>
  <c r="C83" i="8" s="1"/>
  <c r="C84" i="8" s="1"/>
  <c r="C85" i="8" s="1"/>
  <c r="C86" i="8" s="1"/>
  <c r="D61" i="8"/>
  <c r="C57" i="9" s="1"/>
  <c r="D57" i="9" s="1"/>
  <c r="E57" i="9" l="1"/>
  <c r="C87" i="8"/>
  <c r="D86" i="8"/>
  <c r="C88" i="8" l="1"/>
  <c r="D87" i="8"/>
  <c r="A1" i="1"/>
  <c r="D63" i="8"/>
  <c r="C59" i="9" s="1"/>
  <c r="D59" i="9" s="1"/>
  <c r="E59" i="9" l="1"/>
  <c r="I72" i="1"/>
  <c r="I79" i="1"/>
  <c r="I84" i="1"/>
  <c r="I83" i="1"/>
  <c r="I82" i="1"/>
  <c r="I81" i="1"/>
  <c r="I80" i="1"/>
  <c r="I70" i="1"/>
  <c r="I71" i="1"/>
  <c r="I68" i="1"/>
  <c r="I69" i="1"/>
  <c r="I66" i="1"/>
  <c r="I67" i="1"/>
  <c r="I64" i="1"/>
  <c r="I65" i="1"/>
  <c r="I63" i="1"/>
  <c r="I5" i="1"/>
  <c r="I62" i="1"/>
  <c r="C89" i="8"/>
  <c r="D88" i="8"/>
  <c r="I19" i="1"/>
  <c r="I53" i="1"/>
  <c r="I11" i="1"/>
  <c r="I10" i="1"/>
  <c r="I9" i="1"/>
  <c r="I8" i="1"/>
  <c r="I7" i="1"/>
  <c r="I6" i="1"/>
  <c r="I55" i="1"/>
  <c r="I54" i="1"/>
  <c r="I51" i="1"/>
  <c r="I4" i="1"/>
  <c r="I39" i="1"/>
  <c r="I37" i="1"/>
  <c r="I38" i="1"/>
  <c r="I36" i="1"/>
  <c r="I29" i="1"/>
  <c r="I26" i="1"/>
  <c r="I25" i="1"/>
  <c r="I56" i="1"/>
  <c r="I24" i="1"/>
  <c r="I45" i="1"/>
  <c r="I23" i="1"/>
  <c r="I44" i="1"/>
  <c r="I43" i="1"/>
  <c r="I21" i="1"/>
  <c r="I22" i="1"/>
  <c r="I42" i="1"/>
  <c r="I20" i="1"/>
  <c r="I34" i="1"/>
  <c r="I49" i="1"/>
  <c r="I50" i="1"/>
  <c r="I3" i="1"/>
  <c r="I61" i="1"/>
  <c r="I58" i="1"/>
  <c r="I60" i="1"/>
  <c r="I59" i="1"/>
  <c r="I33" i="1"/>
  <c r="I18" i="1"/>
  <c r="I48" i="1"/>
  <c r="I32" i="1"/>
  <c r="I14" i="1"/>
  <c r="I47" i="1"/>
  <c r="I30" i="1"/>
  <c r="I12" i="1"/>
  <c r="I46" i="1"/>
  <c r="I31" i="1"/>
  <c r="I17" i="1"/>
  <c r="I41" i="1"/>
  <c r="I28" i="1"/>
  <c r="I16" i="1"/>
  <c r="I52" i="1"/>
  <c r="I40" i="1"/>
  <c r="I27" i="1"/>
  <c r="I15" i="1"/>
  <c r="I57" i="1"/>
  <c r="I35" i="1"/>
  <c r="I13" i="1"/>
  <c r="C90" i="8" l="1"/>
  <c r="D89" i="8"/>
  <c r="D64" i="8"/>
  <c r="C60" i="9" s="1"/>
  <c r="D60" i="9" s="1"/>
  <c r="E60" i="9" l="1"/>
  <c r="C91" i="8"/>
  <c r="D90" i="8"/>
  <c r="D65" i="8"/>
  <c r="C61" i="9" s="1"/>
  <c r="D61" i="9" s="1"/>
  <c r="E61" i="9" l="1"/>
  <c r="C92" i="8"/>
  <c r="D91" i="8"/>
  <c r="C93" i="8" l="1"/>
  <c r="D92" i="8"/>
  <c r="D66" i="8"/>
  <c r="C62" i="9" s="1"/>
  <c r="D62" i="9" s="1"/>
  <c r="E62" i="9" l="1"/>
  <c r="C94" i="8"/>
  <c r="D93" i="8"/>
  <c r="D67" i="8"/>
  <c r="C63" i="9" s="1"/>
  <c r="D63" i="9" s="1"/>
  <c r="E63" i="9" l="1"/>
  <c r="C95" i="8"/>
  <c r="D94" i="8"/>
  <c r="D68" i="8"/>
  <c r="C64" i="9" s="1"/>
  <c r="D64" i="9" s="1"/>
  <c r="E64" i="9" l="1"/>
  <c r="C96" i="8"/>
  <c r="D95" i="8"/>
  <c r="D69" i="8"/>
  <c r="C65" i="9" s="1"/>
  <c r="D65" i="9" s="1"/>
  <c r="E65" i="9" l="1"/>
  <c r="C97" i="8"/>
  <c r="D96" i="8"/>
  <c r="D70" i="8"/>
  <c r="C66" i="9" s="1"/>
  <c r="D66" i="9" s="1"/>
  <c r="C98" i="8" l="1"/>
  <c r="D97" i="8"/>
  <c r="E66" i="9"/>
  <c r="C99" i="8" l="1"/>
  <c r="D98" i="8"/>
  <c r="D71" i="8"/>
  <c r="C67" i="9" s="1"/>
  <c r="D67" i="9" s="1"/>
  <c r="C100" i="8" l="1"/>
  <c r="D99" i="8"/>
  <c r="E67" i="9"/>
  <c r="D72" i="8"/>
  <c r="C68" i="9" s="1"/>
  <c r="D68" i="9" s="1"/>
  <c r="C101" i="8" l="1"/>
  <c r="D100" i="8"/>
  <c r="E68" i="9"/>
  <c r="D73" i="8"/>
  <c r="C69" i="9" s="1"/>
  <c r="D69" i="9" s="1"/>
  <c r="C102" i="8" l="1"/>
  <c r="D101" i="8"/>
  <c r="E69" i="9"/>
  <c r="D74" i="8"/>
  <c r="C70" i="9" s="1"/>
  <c r="D70" i="9" s="1"/>
  <c r="C103" i="8" l="1"/>
  <c r="D102" i="8"/>
  <c r="E70" i="9"/>
  <c r="D75" i="8"/>
  <c r="C71" i="9" s="1"/>
  <c r="D71" i="9" s="1"/>
  <c r="D103" i="8" l="1"/>
  <c r="C99" i="9" s="1"/>
  <c r="D99" i="9" s="1"/>
  <c r="C104" i="8"/>
  <c r="E71" i="9"/>
  <c r="D104" i="8" l="1"/>
  <c r="C100" i="9" s="1"/>
  <c r="D100" i="9" s="1"/>
  <c r="C105" i="8"/>
  <c r="E99" i="9"/>
  <c r="D76" i="8"/>
  <c r="C72" i="9" s="1"/>
  <c r="D72" i="9" s="1"/>
  <c r="D105" i="8" l="1"/>
  <c r="C101" i="9" s="1"/>
  <c r="D101" i="9" s="1"/>
  <c r="C106" i="8"/>
  <c r="E100" i="9"/>
  <c r="E72" i="9"/>
  <c r="D77" i="8"/>
  <c r="C73" i="9" s="1"/>
  <c r="D73" i="9" s="1"/>
  <c r="E101" i="9" l="1"/>
  <c r="D106" i="8"/>
  <c r="C102" i="9" s="1"/>
  <c r="D102" i="9" s="1"/>
  <c r="C107" i="8"/>
  <c r="E73" i="9"/>
  <c r="D78" i="8"/>
  <c r="C74" i="9" s="1"/>
  <c r="D74" i="9" s="1"/>
  <c r="D107" i="8" l="1"/>
  <c r="C103" i="9" s="1"/>
  <c r="D103" i="9" s="1"/>
  <c r="C108" i="8"/>
  <c r="E102" i="9"/>
  <c r="E74" i="9"/>
  <c r="D79" i="8"/>
  <c r="C75" i="9" s="1"/>
  <c r="D75" i="9" s="1"/>
  <c r="D108" i="8" l="1"/>
  <c r="C104" i="9" s="1"/>
  <c r="D104" i="9" s="1"/>
  <c r="C109" i="8"/>
  <c r="E103" i="9"/>
  <c r="E75" i="9"/>
  <c r="D80" i="8"/>
  <c r="C76" i="9" s="1"/>
  <c r="D76" i="9" s="1"/>
  <c r="D109" i="8" l="1"/>
  <c r="C105" i="9" s="1"/>
  <c r="D105" i="9" s="1"/>
  <c r="C110" i="8"/>
  <c r="E104" i="9"/>
  <c r="E76" i="9"/>
  <c r="D110" i="8" l="1"/>
  <c r="C106" i="9" s="1"/>
  <c r="D106" i="9" s="1"/>
  <c r="E106" i="9" s="1"/>
  <c r="C111" i="8"/>
  <c r="E105" i="9"/>
  <c r="D81" i="8"/>
  <c r="C77" i="9" s="1"/>
  <c r="D77" i="9" s="1"/>
  <c r="C112" i="8" l="1"/>
  <c r="D111" i="8"/>
  <c r="C107" i="9" s="1"/>
  <c r="D107" i="9" s="1"/>
  <c r="E77" i="9"/>
  <c r="D82" i="8"/>
  <c r="C78" i="9" s="1"/>
  <c r="D78" i="9" s="1"/>
  <c r="E107" i="9" l="1"/>
  <c r="C113" i="8"/>
  <c r="D112" i="8"/>
  <c r="C108" i="9" s="1"/>
  <c r="D108" i="9" s="1"/>
  <c r="E78" i="9"/>
  <c r="D83" i="8"/>
  <c r="C79" i="9" s="1"/>
  <c r="D79" i="9" s="1"/>
  <c r="E108" i="9" l="1"/>
  <c r="C114" i="8"/>
  <c r="D113" i="8"/>
  <c r="C109" i="9" s="1"/>
  <c r="D109" i="9" s="1"/>
  <c r="E79" i="9"/>
  <c r="D84" i="8"/>
  <c r="C80" i="9" s="1"/>
  <c r="D80" i="9" s="1"/>
  <c r="E109" i="9" l="1"/>
  <c r="C115" i="8"/>
  <c r="D115" i="8" s="1"/>
  <c r="C111" i="9" s="1"/>
  <c r="D111" i="9" s="1"/>
  <c r="D114" i="8"/>
  <c r="C110" i="9" s="1"/>
  <c r="D110" i="9" s="1"/>
  <c r="E80" i="9"/>
  <c r="D85" i="8"/>
  <c r="C81" i="9" s="1"/>
  <c r="D81" i="9" s="1"/>
  <c r="E111" i="9" l="1"/>
  <c r="E110" i="9"/>
  <c r="E81" i="9"/>
  <c r="C82" i="9"/>
  <c r="D82" i="9" s="1"/>
  <c r="E82" i="9" l="1"/>
  <c r="C83" i="9"/>
  <c r="D83" i="9" s="1"/>
  <c r="E83" i="9" l="1"/>
  <c r="C84" i="9"/>
  <c r="D84" i="9" s="1"/>
  <c r="E84" i="9" l="1"/>
  <c r="C85" i="9"/>
  <c r="D85" i="9" s="1"/>
  <c r="E85" i="9" l="1"/>
  <c r="C86" i="9"/>
  <c r="D86" i="9" s="1"/>
  <c r="E86" i="9" l="1"/>
  <c r="C87" i="9"/>
  <c r="D87" i="9" s="1"/>
  <c r="E87" i="9" l="1"/>
  <c r="C88" i="9"/>
  <c r="D88" i="9" s="1"/>
  <c r="E88" i="9" l="1"/>
  <c r="C89" i="9"/>
  <c r="D89" i="9" s="1"/>
  <c r="E89" i="9" l="1"/>
  <c r="C90" i="9"/>
  <c r="D90" i="9" s="1"/>
  <c r="E90" i="9" l="1"/>
  <c r="C91" i="9"/>
  <c r="D91" i="9" s="1"/>
  <c r="E91" i="9" l="1"/>
  <c r="C92" i="9"/>
  <c r="D92" i="9" s="1"/>
  <c r="E92" i="9" l="1"/>
  <c r="C93" i="9"/>
  <c r="D93" i="9" s="1"/>
  <c r="E93" i="9" l="1"/>
  <c r="C94" i="9"/>
  <c r="D94" i="9" s="1"/>
  <c r="E94" i="9" l="1"/>
  <c r="C95" i="9"/>
  <c r="D95" i="9" s="1"/>
  <c r="E95" i="9" l="1"/>
  <c r="C96" i="9"/>
  <c r="D96" i="9" s="1"/>
  <c r="E96" i="9" l="1"/>
  <c r="C97" i="9"/>
  <c r="D97" i="9" s="1"/>
  <c r="C98" i="9"/>
  <c r="D98" i="9" s="1"/>
  <c r="E98" i="9" l="1"/>
  <c r="E97" i="9"/>
  <c r="F86" i="1" l="1"/>
  <c r="I86" i="1"/>
  <c r="F87" i="1"/>
  <c r="M87" i="1" s="1"/>
  <c r="I87" i="1"/>
  <c r="M86" i="1" l="1"/>
  <c r="F85" i="1" l="1"/>
  <c r="M85" i="1" s="1"/>
  <c r="I85" i="1"/>
  <c r="M91" i="1" l="1"/>
  <c r="M90" i="1"/>
  <c r="K90" i="1"/>
  <c r="H90" i="1"/>
  <c r="K89" i="1" s="1"/>
  <c r="L90" i="1" l="1"/>
  <c r="K91" i="1"/>
  <c r="J50" i="1" l="1"/>
  <c r="J29" i="1"/>
  <c r="J80" i="1"/>
  <c r="J3" i="1"/>
  <c r="J4" i="1"/>
  <c r="J23" i="1"/>
  <c r="J12" i="1"/>
  <c r="J34" i="1"/>
  <c r="J13" i="1"/>
  <c r="J65" i="1"/>
  <c r="J6" i="1"/>
  <c r="J27" i="1"/>
  <c r="J28" i="1"/>
  <c r="J67" i="1"/>
  <c r="J68" i="1"/>
  <c r="J18" i="1"/>
  <c r="J32" i="1"/>
  <c r="J39" i="1"/>
  <c r="J40" i="1"/>
  <c r="J59" i="1"/>
  <c r="J54" i="1"/>
  <c r="J86" i="1"/>
  <c r="J43" i="1"/>
  <c r="J63" i="1"/>
  <c r="J14" i="1"/>
  <c r="J31" i="1"/>
  <c r="J77" i="1"/>
  <c r="J57" i="1"/>
  <c r="J62" i="1"/>
  <c r="J53" i="1"/>
  <c r="J83" i="1"/>
  <c r="J15" i="1"/>
  <c r="J16" i="1"/>
  <c r="J20" i="1"/>
  <c r="J47" i="1"/>
  <c r="J36" i="1"/>
  <c r="J46" i="1"/>
  <c r="J25" i="1"/>
  <c r="J60" i="1"/>
  <c r="J37" i="1"/>
  <c r="J8" i="1"/>
  <c r="J81" i="1"/>
  <c r="J49" i="1"/>
  <c r="J24" i="1"/>
  <c r="J19" i="1"/>
  <c r="J79" i="1"/>
  <c r="J82" i="1"/>
  <c r="J22" i="1"/>
  <c r="J45" i="1"/>
  <c r="J64" i="1"/>
  <c r="L91" i="1"/>
  <c r="J75" i="1"/>
  <c r="J26" i="1"/>
  <c r="J38" i="1"/>
  <c r="J55" i="1"/>
  <c r="J58" i="1"/>
  <c r="J72" i="1"/>
  <c r="J17" i="1"/>
  <c r="J87" i="1"/>
  <c r="J71" i="1"/>
  <c r="J30" i="1"/>
  <c r="J56" i="1"/>
  <c r="J51" i="1"/>
  <c r="J52" i="1"/>
  <c r="J44" i="1"/>
  <c r="J11" i="1"/>
  <c r="J61" i="1"/>
  <c r="J76" i="1"/>
  <c r="J42" i="1"/>
  <c r="J21" i="1"/>
  <c r="J89" i="1"/>
  <c r="J33" i="1"/>
  <c r="J90" i="1"/>
  <c r="J66" i="1"/>
  <c r="J10" i="1"/>
  <c r="J35" i="1"/>
  <c r="J48" i="1"/>
  <c r="J69" i="1"/>
  <c r="J7" i="1"/>
  <c r="J85" i="1"/>
  <c r="J70" i="1"/>
  <c r="J78" i="1"/>
  <c r="J9" i="1"/>
  <c r="J5" i="1"/>
  <c r="J84" i="1"/>
  <c r="J41" i="1"/>
  <c r="J91" i="1" l="1"/>
</calcChain>
</file>

<file path=xl/sharedStrings.xml><?xml version="1.0" encoding="utf-8"?>
<sst xmlns="http://schemas.openxmlformats.org/spreadsheetml/2006/main" count="169" uniqueCount="119">
  <si>
    <t>Stock</t>
  </si>
  <si>
    <t>Buy</t>
  </si>
  <si>
    <t>Sell</t>
  </si>
  <si>
    <t>Shares</t>
  </si>
  <si>
    <t>PriceAcq</t>
  </si>
  <si>
    <t>Amount</t>
  </si>
  <si>
    <t>% Fund0</t>
  </si>
  <si>
    <t>% fund1</t>
  </si>
  <si>
    <t>MtM</t>
  </si>
  <si>
    <t>%perform</t>
  </si>
  <si>
    <t>POET</t>
  </si>
  <si>
    <t>WULF</t>
  </si>
  <si>
    <t>Cash</t>
  </si>
  <si>
    <t>Invested</t>
  </si>
  <si>
    <t>Portfolio</t>
  </si>
  <si>
    <t>Net P&amp;L</t>
  </si>
  <si>
    <t>Sector</t>
  </si>
  <si>
    <t>Aerospace</t>
  </si>
  <si>
    <t>PLBY</t>
  </si>
  <si>
    <t>Date</t>
  </si>
  <si>
    <t>CGEM</t>
  </si>
  <si>
    <t>ALTO</t>
  </si>
  <si>
    <t>S&amp;P500</t>
  </si>
  <si>
    <t>Performance</t>
  </si>
  <si>
    <t>SELL</t>
  </si>
  <si>
    <t>Realised</t>
  </si>
  <si>
    <t>Acum Realised</t>
  </si>
  <si>
    <t>Portoflio</t>
  </si>
  <si>
    <t>COST</t>
  </si>
  <si>
    <t>VOO</t>
  </si>
  <si>
    <t>LUNR</t>
  </si>
  <si>
    <t>LABU</t>
  </si>
  <si>
    <t>CAPR</t>
  </si>
  <si>
    <t>NTLA</t>
  </si>
  <si>
    <t>MRVL</t>
  </si>
  <si>
    <t>SHORT</t>
  </si>
  <si>
    <t>BUY</t>
  </si>
  <si>
    <t>BCRX</t>
  </si>
  <si>
    <t>ARM</t>
  </si>
  <si>
    <t>Semiconductors</t>
  </si>
  <si>
    <t>Biotech</t>
  </si>
  <si>
    <t>Biofuels</t>
  </si>
  <si>
    <t>Crypto/Data Centers</t>
  </si>
  <si>
    <t>CAVA</t>
  </si>
  <si>
    <t>Consumer</t>
  </si>
  <si>
    <t>YOU</t>
  </si>
  <si>
    <t>Software</t>
  </si>
  <si>
    <t>Shares0</t>
  </si>
  <si>
    <t>Trade 1</t>
  </si>
  <si>
    <t>Trade 2</t>
  </si>
  <si>
    <t>Trade 3</t>
  </si>
  <si>
    <t>Trade 4</t>
  </si>
  <si>
    <t>Trade 5</t>
  </si>
  <si>
    <t>Trade 6</t>
  </si>
  <si>
    <t>Trade 7</t>
  </si>
  <si>
    <t>Trade 8</t>
  </si>
  <si>
    <t>Trade 9</t>
  </si>
  <si>
    <t>Trade 10</t>
  </si>
  <si>
    <t>Trade 11</t>
  </si>
  <si>
    <t>Trade 12</t>
  </si>
  <si>
    <t>Trade 13</t>
  </si>
  <si>
    <t>Trade 14</t>
  </si>
  <si>
    <t>Trade 15</t>
  </si>
  <si>
    <t>Trade 16</t>
  </si>
  <si>
    <t>Trade 17</t>
  </si>
  <si>
    <t>Trade 18</t>
  </si>
  <si>
    <t>Trade 19</t>
  </si>
  <si>
    <t>Trade 20</t>
  </si>
  <si>
    <t>Trade 21</t>
  </si>
  <si>
    <t>Trade 22</t>
  </si>
  <si>
    <t>Trade 23</t>
  </si>
  <si>
    <t>Trade 24</t>
  </si>
  <si>
    <t>Trade 25</t>
  </si>
  <si>
    <t>Trade 26</t>
  </si>
  <si>
    <t>Trade 27</t>
  </si>
  <si>
    <t>Trade 28</t>
  </si>
  <si>
    <t>Trade 29</t>
  </si>
  <si>
    <t>Trade 30</t>
  </si>
  <si>
    <t>Trade 31</t>
  </si>
  <si>
    <t>Trade 32</t>
  </si>
  <si>
    <t>Trade 33</t>
  </si>
  <si>
    <t>Trade 34</t>
  </si>
  <si>
    <t>Trade 35</t>
  </si>
  <si>
    <t>Trade 36</t>
  </si>
  <si>
    <t>Trade 37</t>
  </si>
  <si>
    <t>Trade 38</t>
  </si>
  <si>
    <t>Trade 39</t>
  </si>
  <si>
    <t>Trade 40</t>
  </si>
  <si>
    <t>Trade 41</t>
  </si>
  <si>
    <t>Trade 42</t>
  </si>
  <si>
    <t>Trade 43</t>
  </si>
  <si>
    <t>Trade 44</t>
  </si>
  <si>
    <t>Trade 45</t>
  </si>
  <si>
    <t>Trade 46</t>
  </si>
  <si>
    <t>Trade 47</t>
  </si>
  <si>
    <t>Trade 48</t>
  </si>
  <si>
    <t>Trade 49</t>
  </si>
  <si>
    <t>Trade 50</t>
  </si>
  <si>
    <t>Trade 51</t>
  </si>
  <si>
    <t>Trade 52</t>
  </si>
  <si>
    <t>Trade 53</t>
  </si>
  <si>
    <t>Trade 54</t>
  </si>
  <si>
    <t>Trade 55</t>
  </si>
  <si>
    <t>Trade 56</t>
  </si>
  <si>
    <t>Trade 57</t>
  </si>
  <si>
    <t>Trade 58</t>
  </si>
  <si>
    <t>Trade 59</t>
  </si>
  <si>
    <t>Trade 60</t>
  </si>
  <si>
    <t>Trade 61</t>
  </si>
  <si>
    <t>Trade 62</t>
  </si>
  <si>
    <t>Trade 63</t>
  </si>
  <si>
    <t>Trade 64</t>
  </si>
  <si>
    <t>Trade 65</t>
  </si>
  <si>
    <t>Trade 66</t>
  </si>
  <si>
    <t>Trade 67</t>
  </si>
  <si>
    <t>Trade 68</t>
  </si>
  <si>
    <t>Trade 69</t>
  </si>
  <si>
    <t>Trade 70</t>
  </si>
  <si>
    <t>Semiconductor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</si>
</sst>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_-;\-* #,##0_-;_-* &quot;-&quot;??_-;_-@_-"/>
    <numFmt numFmtId="165" formatCode="0.0%"/>
    <numFmt numFmtId="167" formatCode="_-* #,##0.00\ _€_-;\-* #,##0.00\ _€_-;_-* &quot;-&quot;??\ _€_-;_-@_-"/>
    <numFmt numFmtId="171" formatCode="_-* #,##0\ _€_-;\-* #,##0\ _€_-;_-* &quot;-&quot;??\ _€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Aptos Narrow"/>
      <scheme val="minor"/>
    </font>
    <font>
      <sz val="11"/>
      <color theme="5" tint="-0.249977111117893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ED0000"/>
      <name val="Aptos Narrow"/>
      <scheme val="minor"/>
    </font>
    <font>
      <sz val="11"/>
      <color rgb="FFED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thick">
        <color rgb="FFCCCCCC"/>
      </bottom>
      <diagonal/>
    </border>
    <border>
      <left/>
      <right/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15" fontId="0" fillId="0" borderId="0" xfId="0" applyNumberFormat="1"/>
    <xf numFmtId="164" fontId="0" fillId="0" borderId="0" xfId="1" applyNumberFormat="1" applyFont="1"/>
    <xf numFmtId="43" fontId="0" fillId="0" borderId="0" xfId="1" applyFont="1"/>
    <xf numFmtId="43" fontId="0" fillId="0" borderId="0" xfId="0" applyNumberFormat="1"/>
    <xf numFmtId="164" fontId="0" fillId="0" borderId="0" xfId="0" applyNumberFormat="1"/>
    <xf numFmtId="165" fontId="0" fillId="0" borderId="0" xfId="2" applyNumberFormat="1" applyFont="1"/>
    <xf numFmtId="10" fontId="0" fillId="0" borderId="0" xfId="2" applyNumberFormat="1" applyFont="1"/>
    <xf numFmtId="165" fontId="0" fillId="0" borderId="0" xfId="0" applyNumberFormat="1"/>
    <xf numFmtId="43" fontId="0" fillId="2" borderId="0" xfId="1" applyFont="1" applyFill="1"/>
    <xf numFmtId="9" fontId="0" fillId="0" borderId="0" xfId="2" applyFont="1"/>
    <xf numFmtId="14" fontId="0" fillId="0" borderId="0" xfId="0" applyNumberFormat="1"/>
    <xf numFmtId="0" fontId="4" fillId="0" borderId="1" xfId="0" applyFont="1" applyBorder="1" applyAlignment="1">
      <alignment wrapText="1"/>
    </xf>
    <xf numFmtId="15" fontId="4" fillId="0" borderId="1" xfId="0" applyNumberFormat="1" applyFont="1" applyBorder="1" applyAlignment="1">
      <alignment horizontal="right" wrapText="1"/>
    </xf>
    <xf numFmtId="0" fontId="4" fillId="0" borderId="3" xfId="0" applyFont="1" applyBorder="1" applyAlignment="1">
      <alignment wrapText="1"/>
    </xf>
    <xf numFmtId="14" fontId="4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 wrapText="1"/>
    </xf>
    <xf numFmtId="15" fontId="4" fillId="0" borderId="2" xfId="0" applyNumberFormat="1" applyFont="1" applyBorder="1" applyAlignment="1">
      <alignment horizontal="right" wrapText="1"/>
    </xf>
    <xf numFmtId="0" fontId="6" fillId="0" borderId="1" xfId="0" applyFont="1" applyBorder="1" applyAlignment="1">
      <alignment horizontal="right" wrapText="1"/>
    </xf>
    <xf numFmtId="1" fontId="4" fillId="0" borderId="1" xfId="0" applyNumberFormat="1" applyFont="1" applyBorder="1" applyAlignment="1">
      <alignment horizontal="right" wrapText="1"/>
    </xf>
    <xf numFmtId="164" fontId="3" fillId="4" borderId="0" xfId="0" applyNumberFormat="1" applyFont="1" applyFill="1"/>
    <xf numFmtId="164" fontId="8" fillId="5" borderId="0" xfId="0" applyNumberFormat="1" applyFont="1" applyFill="1"/>
    <xf numFmtId="164" fontId="0" fillId="5" borderId="0" xfId="0" applyNumberFormat="1" applyFill="1"/>
    <xf numFmtId="0" fontId="7" fillId="0" borderId="0" xfId="0" applyFont="1"/>
    <xf numFmtId="1" fontId="7" fillId="0" borderId="1" xfId="0" applyNumberFormat="1" applyFont="1" applyBorder="1" applyAlignment="1">
      <alignment horizontal="right" wrapText="1"/>
    </xf>
    <xf numFmtId="164" fontId="7" fillId="0" borderId="0" xfId="0" applyNumberFormat="1" applyFont="1"/>
    <xf numFmtId="164" fontId="3" fillId="0" borderId="0" xfId="1" applyNumberFormat="1" applyFont="1"/>
    <xf numFmtId="164" fontId="9" fillId="0" borderId="0" xfId="1" applyNumberFormat="1" applyFont="1"/>
    <xf numFmtId="164" fontId="3" fillId="3" borderId="0" xfId="0" applyNumberFormat="1" applyFont="1" applyFill="1"/>
    <xf numFmtId="167" fontId="7" fillId="0" borderId="1" xfId="0" applyNumberFormat="1" applyFont="1" applyBorder="1" applyAlignment="1">
      <alignment wrapText="1"/>
    </xf>
    <xf numFmtId="167" fontId="4" fillId="0" borderId="1" xfId="0" applyNumberFormat="1" applyFont="1" applyBorder="1" applyAlignment="1">
      <alignment wrapText="1"/>
    </xf>
    <xf numFmtId="15" fontId="5" fillId="0" borderId="1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171" fontId="0" fillId="0" borderId="0" xfId="0" applyNumberFormat="1"/>
    <xf numFmtId="171" fontId="7" fillId="0" borderId="1" xfId="0" applyNumberFormat="1" applyFont="1" applyBorder="1" applyAlignment="1">
      <alignment wrapText="1"/>
    </xf>
    <xf numFmtId="0" fontId="0" fillId="3" borderId="0" xfId="0" applyFill="1"/>
    <xf numFmtId="10" fontId="0" fillId="3" borderId="0" xfId="2" applyNumberFormat="1" applyFont="1" applyFill="1"/>
    <xf numFmtId="1" fontId="4" fillId="0" borderId="0" xfId="0" applyNumberFormat="1" applyFont="1" applyAlignment="1">
      <alignment horizontal="right" wrapText="1"/>
    </xf>
    <xf numFmtId="1" fontId="4" fillId="0" borderId="6" xfId="0" applyNumberFormat="1" applyFont="1" applyBorder="1" applyAlignment="1">
      <alignment horizontal="right" wrapText="1"/>
    </xf>
    <xf numFmtId="1" fontId="7" fillId="0" borderId="0" xfId="0" applyNumberFormat="1" applyFont="1" applyAlignment="1">
      <alignment horizontal="right" wrapText="1"/>
    </xf>
    <xf numFmtId="167" fontId="7" fillId="0" borderId="7" xfId="0" applyNumberFormat="1" applyFont="1" applyBorder="1" applyAlignment="1">
      <alignment wrapText="1"/>
    </xf>
    <xf numFmtId="167" fontId="0" fillId="0" borderId="0" xfId="0" applyNumberFormat="1"/>
    <xf numFmtId="0" fontId="7" fillId="0" borderId="1" xfId="0" applyFont="1" applyBorder="1" applyAlignment="1">
      <alignment wrapText="1"/>
    </xf>
    <xf numFmtId="171" fontId="3" fillId="0" borderId="0" xfId="0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167" fontId="3" fillId="0" borderId="0" xfId="0" applyNumberFormat="1" applyFont="1"/>
    <xf numFmtId="171" fontId="10" fillId="0" borderId="0" xfId="0" applyNumberFormat="1" applyFont="1"/>
    <xf numFmtId="0" fontId="11" fillId="0" borderId="1" xfId="0" applyFont="1" applyBorder="1" applyAlignment="1">
      <alignment wrapText="1"/>
    </xf>
    <xf numFmtId="171" fontId="12" fillId="0" borderId="0" xfId="0" applyNumberFormat="1" applyFont="1"/>
    <xf numFmtId="16" fontId="0" fillId="3" borderId="0" xfId="0" applyNumberFormat="1" applyFill="1"/>
    <xf numFmtId="0" fontId="0" fillId="0" borderId="8" xfId="0" applyBorder="1"/>
    <xf numFmtId="15" fontId="0" fillId="0" borderId="9" xfId="0" applyNumberFormat="1" applyBorder="1"/>
    <xf numFmtId="0" fontId="0" fillId="0" borderId="9" xfId="0" applyBorder="1"/>
    <xf numFmtId="43" fontId="0" fillId="0" borderId="9" xfId="0" applyNumberFormat="1" applyBorder="1"/>
    <xf numFmtId="165" fontId="0" fillId="0" borderId="9" xfId="2" applyNumberFormat="1" applyFont="1" applyBorder="1"/>
    <xf numFmtId="164" fontId="0" fillId="0" borderId="9" xfId="0" applyNumberFormat="1" applyBorder="1"/>
    <xf numFmtId="0" fontId="0" fillId="0" borderId="10" xfId="0" applyBorder="1"/>
    <xf numFmtId="0" fontId="0" fillId="0" borderId="11" xfId="0" applyBorder="1"/>
    <xf numFmtId="10" fontId="0" fillId="0" borderId="12" xfId="2" applyNumberFormat="1" applyFont="1" applyBorder="1"/>
    <xf numFmtId="0" fontId="0" fillId="0" borderId="13" xfId="0" applyBorder="1"/>
    <xf numFmtId="0" fontId="0" fillId="0" borderId="14" xfId="0" applyBorder="1"/>
    <xf numFmtId="43" fontId="0" fillId="0" borderId="14" xfId="0" applyNumberFormat="1" applyBorder="1"/>
    <xf numFmtId="165" fontId="0" fillId="0" borderId="14" xfId="0" applyNumberFormat="1" applyBorder="1"/>
    <xf numFmtId="164" fontId="0" fillId="0" borderId="14" xfId="0" applyNumberFormat="1" applyBorder="1"/>
    <xf numFmtId="10" fontId="0" fillId="0" borderId="15" xfId="2" applyNumberFormat="1" applyFont="1" applyBorder="1"/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4" fillId="3" borderId="1" xfId="0" applyFont="1" applyFill="1" applyBorder="1" applyAlignment="1">
      <alignment wrapText="1"/>
    </xf>
    <xf numFmtId="15" fontId="4" fillId="3" borderId="1" xfId="0" applyNumberFormat="1" applyFont="1" applyFill="1" applyBorder="1" applyAlignment="1">
      <alignment horizontal="right" wrapText="1"/>
    </xf>
    <xf numFmtId="15" fontId="4" fillId="3" borderId="2" xfId="0" applyNumberFormat="1" applyFont="1" applyFill="1" applyBorder="1" applyAlignment="1">
      <alignment horizontal="right" wrapText="1"/>
    </xf>
  </cellXfs>
  <cellStyles count="3">
    <cellStyle name="Millares" xfId="1" builtinId="3"/>
    <cellStyle name="Normal" xfId="0" builtinId="0"/>
    <cellStyle name="Porcentaje" xfId="2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B6451A0-3B04-4983-8F4E-77F5BD4DCA4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837d7b8-9e01-4a9b-ad75-afec1d00da8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FA58-631F-4771-8C48-C1F0AACD8A11}">
  <dimension ref="A1:N104"/>
  <sheetViews>
    <sheetView tabSelected="1" zoomScale="85" zoomScaleNormal="85" workbookViewId="0">
      <pane xSplit="2" ySplit="2" topLeftCell="C59" activePane="bottomRight" state="frozen"/>
      <selection pane="topRight" activeCell="C1" sqref="C1"/>
      <selection pane="bottomLeft" activeCell="A3" sqref="A3"/>
      <selection pane="bottomRight" activeCell="F102" sqref="F102"/>
    </sheetView>
  </sheetViews>
  <sheetFormatPr baseColWidth="10" defaultColWidth="11.375" defaultRowHeight="15" customHeight="1"/>
  <cols>
    <col min="1" max="1" width="10.625" customWidth="1"/>
    <col min="5" max="5" width="9.125" customWidth="1"/>
    <col min="14" max="14" width="21.625" customWidth="1"/>
  </cols>
  <sheetData>
    <row r="1" spans="1:14" ht="14.25">
      <c r="A1" s="27">
        <f>1000000+SUM(M3:M73)</f>
        <v>1052540.1555000001</v>
      </c>
      <c r="B1" s="52">
        <v>46129</v>
      </c>
    </row>
    <row r="2" spans="1:14" ht="14.25">
      <c r="B2" t="s">
        <v>0</v>
      </c>
      <c r="C2" s="46" t="s">
        <v>1</v>
      </c>
      <c r="D2" s="46" t="s">
        <v>2</v>
      </c>
      <c r="E2" s="46" t="s">
        <v>47</v>
      </c>
      <c r="F2" s="46" t="s">
        <v>3</v>
      </c>
      <c r="G2" s="46" t="s">
        <v>4</v>
      </c>
      <c r="H2" s="46" t="s">
        <v>5</v>
      </c>
      <c r="I2" s="46" t="s">
        <v>6</v>
      </c>
      <c r="J2" s="46" t="s">
        <v>7</v>
      </c>
      <c r="K2" s="46" t="s">
        <v>8</v>
      </c>
      <c r="L2" s="46" t="s">
        <v>9</v>
      </c>
      <c r="M2" t="s">
        <v>15</v>
      </c>
      <c r="N2" t="s">
        <v>16</v>
      </c>
    </row>
    <row r="3" spans="1:14" ht="14.25">
      <c r="B3" t="s">
        <v>48</v>
      </c>
      <c r="C3" s="1">
        <v>45985</v>
      </c>
      <c r="D3" s="1">
        <v>45995</v>
      </c>
      <c r="E3" s="2"/>
      <c r="F3" s="2">
        <v>643</v>
      </c>
      <c r="G3" s="3">
        <v>311</v>
      </c>
      <c r="H3" s="2">
        <f>+F3*G3</f>
        <v>199973</v>
      </c>
      <c r="I3" s="6">
        <f>+H3/$A$1</f>
        <v>0.18999085113765046</v>
      </c>
      <c r="J3" s="6">
        <f t="shared" ref="J3:J34" si="0">+K3*F3/$K$91</f>
        <v>0.17405160986665383</v>
      </c>
      <c r="K3" s="3">
        <v>316</v>
      </c>
      <c r="L3" s="7">
        <f>+K3/G3-1</f>
        <v>1.6077170418006492E-2</v>
      </c>
      <c r="M3" s="21">
        <f>+(K3-G3)*F3</f>
        <v>3215</v>
      </c>
    </row>
    <row r="4" spans="1:14" ht="14.25">
      <c r="B4" t="s">
        <v>49</v>
      </c>
      <c r="C4" s="1">
        <v>45993</v>
      </c>
      <c r="D4" s="1">
        <v>45995</v>
      </c>
      <c r="E4" s="2"/>
      <c r="F4" s="2">
        <v>4800</v>
      </c>
      <c r="G4" s="3">
        <v>40.93</v>
      </c>
      <c r="H4" s="2">
        <f>+F4*G4</f>
        <v>196464</v>
      </c>
      <c r="I4" s="6">
        <f>+H4/$A$1</f>
        <v>0.18665701158610093</v>
      </c>
      <c r="J4" s="6">
        <f t="shared" si="0"/>
        <v>0.17433600232327395</v>
      </c>
      <c r="K4" s="3">
        <v>42.4</v>
      </c>
      <c r="L4" s="7">
        <f>+K4/G4-1</f>
        <v>3.5914976789640729E-2</v>
      </c>
      <c r="M4" s="21">
        <f t="shared" ref="M4:M32" si="1">+(K4-G4)*F4</f>
        <v>7055.9999999999945</v>
      </c>
    </row>
    <row r="5" spans="1:14" ht="14.25">
      <c r="B5" t="s">
        <v>50</v>
      </c>
      <c r="C5" s="1">
        <v>46001</v>
      </c>
      <c r="D5" s="1">
        <v>46003</v>
      </c>
      <c r="E5" s="2"/>
      <c r="F5" s="2">
        <v>27000</v>
      </c>
      <c r="G5" s="3">
        <v>2.02</v>
      </c>
      <c r="H5" s="2">
        <f t="shared" ref="H5:H8" si="2">+F5*G5</f>
        <v>54540</v>
      </c>
      <c r="I5" s="6">
        <f t="shared" ref="I5:I8" si="3">+H5/$A$1</f>
        <v>5.181750046780044E-2</v>
      </c>
      <c r="J5" s="6">
        <f t="shared" si="0"/>
        <v>4.8569434609520602E-2</v>
      </c>
      <c r="K5" s="3">
        <v>2.1</v>
      </c>
      <c r="L5" s="7">
        <f t="shared" ref="L5:L8" si="4">+K5/G5-1</f>
        <v>3.9603960396039639E-2</v>
      </c>
      <c r="M5" s="22">
        <f t="shared" si="1"/>
        <v>2160.0000000000018</v>
      </c>
    </row>
    <row r="6" spans="1:14" ht="14.25">
      <c r="B6" t="s">
        <v>51</v>
      </c>
      <c r="C6" s="1">
        <v>46003</v>
      </c>
      <c r="D6" s="1">
        <v>46003</v>
      </c>
      <c r="E6" s="2"/>
      <c r="F6" s="2">
        <v>4900</v>
      </c>
      <c r="G6" s="3">
        <v>11.15</v>
      </c>
      <c r="H6" s="2">
        <f t="shared" si="2"/>
        <v>54635</v>
      </c>
      <c r="I6" s="6">
        <f t="shared" si="3"/>
        <v>5.1907758306899102E-2</v>
      </c>
      <c r="J6" s="6">
        <f t="shared" si="0"/>
        <v>4.4282132665593783E-2</v>
      </c>
      <c r="K6" s="3">
        <v>10.55</v>
      </c>
      <c r="L6" s="7">
        <f t="shared" si="4"/>
        <v>-5.3811659192825045E-2</v>
      </c>
      <c r="M6" s="22">
        <f t="shared" si="1"/>
        <v>-2939.9999999999982</v>
      </c>
    </row>
    <row r="7" spans="1:14" ht="14.25">
      <c r="B7" t="s">
        <v>52</v>
      </c>
      <c r="C7" s="1">
        <v>46002</v>
      </c>
      <c r="D7" s="1">
        <v>46003</v>
      </c>
      <c r="E7" s="2"/>
      <c r="F7" s="2">
        <v>470</v>
      </c>
      <c r="G7" s="3">
        <v>117</v>
      </c>
      <c r="H7" s="2">
        <f t="shared" si="2"/>
        <v>54990</v>
      </c>
      <c r="I7" s="6">
        <f t="shared" si="3"/>
        <v>5.2245037600373044E-2</v>
      </c>
      <c r="J7" s="6">
        <f t="shared" si="0"/>
        <v>4.4962790033155078E-2</v>
      </c>
      <c r="K7" s="3">
        <v>111.68</v>
      </c>
      <c r="L7" s="7">
        <f t="shared" si="4"/>
        <v>-4.5470085470085464E-2</v>
      </c>
      <c r="M7" s="22">
        <f t="shared" si="1"/>
        <v>-2500.3999999999969</v>
      </c>
    </row>
    <row r="8" spans="1:14" ht="14.25">
      <c r="B8" t="s">
        <v>53</v>
      </c>
      <c r="C8" s="1">
        <v>46000</v>
      </c>
      <c r="D8" s="1">
        <v>46003</v>
      </c>
      <c r="E8" s="2"/>
      <c r="F8" s="2">
        <v>3600</v>
      </c>
      <c r="G8" s="3">
        <v>15.6</v>
      </c>
      <c r="H8" s="2">
        <f t="shared" si="2"/>
        <v>56160</v>
      </c>
      <c r="I8" s="6">
        <f t="shared" si="3"/>
        <v>5.3356634145061838E-2</v>
      </c>
      <c r="J8" s="6">
        <f t="shared" si="0"/>
        <v>4.4838068522059023E-2</v>
      </c>
      <c r="K8" s="3">
        <v>14.54</v>
      </c>
      <c r="L8" s="7">
        <f t="shared" si="4"/>
        <v>-6.7948717948717929E-2</v>
      </c>
      <c r="M8" s="22">
        <f t="shared" si="1"/>
        <v>-3816.0000000000018</v>
      </c>
    </row>
    <row r="9" spans="1:14" ht="14.25">
      <c r="B9" t="s">
        <v>54</v>
      </c>
      <c r="C9" s="1">
        <v>45981</v>
      </c>
      <c r="D9" s="1">
        <v>46006</v>
      </c>
      <c r="E9" s="2"/>
      <c r="F9" s="2">
        <v>2500</v>
      </c>
      <c r="G9" s="3">
        <v>20.399999999999999</v>
      </c>
      <c r="H9" s="2">
        <f t="shared" ref="H9:H15" si="5">+F9*G9</f>
        <v>51000</v>
      </c>
      <c r="I9" s="6">
        <f t="shared" ref="I9:I14" si="6">+H9/$A$1</f>
        <v>4.845420835822923E-2</v>
      </c>
      <c r="J9" s="6">
        <f t="shared" si="0"/>
        <v>3.7155189174390764E-2</v>
      </c>
      <c r="K9" s="3">
        <v>17.350000000000001</v>
      </c>
      <c r="L9" s="7">
        <f t="shared" ref="L9:L13" si="7">+K9/G9-1</f>
        <v>-0.14950980392156854</v>
      </c>
      <c r="M9" s="21">
        <f t="shared" si="1"/>
        <v>-7624.9999999999927</v>
      </c>
    </row>
    <row r="10" spans="1:14" ht="14.25">
      <c r="B10" t="s">
        <v>55</v>
      </c>
      <c r="C10" s="1">
        <v>45979</v>
      </c>
      <c r="D10" s="1">
        <v>46006</v>
      </c>
      <c r="E10" s="2"/>
      <c r="F10" s="2">
        <v>6400</v>
      </c>
      <c r="G10" s="3">
        <v>7.87</v>
      </c>
      <c r="H10" s="2">
        <f t="shared" si="5"/>
        <v>50368</v>
      </c>
      <c r="I10" s="6">
        <f t="shared" si="6"/>
        <v>4.7853756207593919E-2</v>
      </c>
      <c r="J10" s="6">
        <f t="shared" si="0"/>
        <v>6.2114053657946353E-2</v>
      </c>
      <c r="K10" s="3">
        <v>11.33</v>
      </c>
      <c r="L10" s="7">
        <f t="shared" si="7"/>
        <v>0.4396442185514613</v>
      </c>
      <c r="M10" s="21">
        <f t="shared" si="1"/>
        <v>22144</v>
      </c>
    </row>
    <row r="11" spans="1:14" ht="14.25">
      <c r="B11" t="s">
        <v>56</v>
      </c>
      <c r="C11" s="1">
        <v>45982</v>
      </c>
      <c r="D11" s="1">
        <v>46007</v>
      </c>
      <c r="E11" s="2"/>
      <c r="F11" s="2">
        <v>1077</v>
      </c>
      <c r="G11" s="3">
        <v>92.83</v>
      </c>
      <c r="H11" s="2">
        <f t="shared" si="5"/>
        <v>99977.91</v>
      </c>
      <c r="I11" s="6">
        <f t="shared" si="6"/>
        <v>9.498726436000568E-2</v>
      </c>
      <c r="J11" s="6">
        <f t="shared" si="0"/>
        <v>8.256932374186253E-2</v>
      </c>
      <c r="K11" s="9">
        <v>89.5</v>
      </c>
      <c r="L11" s="7">
        <f t="shared" si="7"/>
        <v>-3.5872024130130353E-2</v>
      </c>
      <c r="M11" s="22">
        <f t="shared" si="1"/>
        <v>-3586.409999999998</v>
      </c>
    </row>
    <row r="12" spans="1:14" ht="14.25">
      <c r="B12" t="s">
        <v>57</v>
      </c>
      <c r="C12" s="1">
        <v>45981</v>
      </c>
      <c r="D12" s="1">
        <v>46007</v>
      </c>
      <c r="E12" s="2"/>
      <c r="F12" s="2">
        <v>1700</v>
      </c>
      <c r="G12" s="3">
        <v>30.34</v>
      </c>
      <c r="H12" s="2">
        <f t="shared" si="5"/>
        <v>51578</v>
      </c>
      <c r="I12" s="6">
        <f t="shared" si="6"/>
        <v>4.9003356052955832E-2</v>
      </c>
      <c r="J12" s="6">
        <f t="shared" si="0"/>
        <v>4.1764574141477717E-2</v>
      </c>
      <c r="K12" s="9">
        <v>28.68</v>
      </c>
      <c r="L12" s="7">
        <f t="shared" si="7"/>
        <v>-5.4713249835201094E-2</v>
      </c>
      <c r="M12" s="22">
        <f t="shared" si="1"/>
        <v>-2822.0000000000005</v>
      </c>
    </row>
    <row r="13" spans="1:14" ht="14.25">
      <c r="B13" t="s">
        <v>58</v>
      </c>
      <c r="C13" s="1">
        <v>45980</v>
      </c>
      <c r="D13" s="1">
        <v>46007</v>
      </c>
      <c r="E13" s="2"/>
      <c r="F13" s="2">
        <v>600</v>
      </c>
      <c r="G13" s="3">
        <v>83.4</v>
      </c>
      <c r="H13" s="2">
        <f t="shared" si="5"/>
        <v>50040</v>
      </c>
      <c r="I13" s="6">
        <f t="shared" si="6"/>
        <v>4.7542129142074327E-2</v>
      </c>
      <c r="J13" s="6">
        <f t="shared" si="0"/>
        <v>4.4596506254688917E-2</v>
      </c>
      <c r="K13" s="9">
        <v>86.77</v>
      </c>
      <c r="L13" s="7">
        <f t="shared" si="7"/>
        <v>4.0407673860911153E-2</v>
      </c>
      <c r="M13" s="22">
        <f t="shared" si="1"/>
        <v>2021.9999999999941</v>
      </c>
    </row>
    <row r="14" spans="1:14" ht="14.25">
      <c r="B14" t="s">
        <v>59</v>
      </c>
      <c r="C14" s="1">
        <v>45985</v>
      </c>
      <c r="D14" s="1">
        <v>46008</v>
      </c>
      <c r="E14" s="2"/>
      <c r="F14" s="2">
        <f>50000/2</f>
        <v>25000</v>
      </c>
      <c r="G14" s="3">
        <v>2</v>
      </c>
      <c r="H14" s="2">
        <f t="shared" si="5"/>
        <v>50000</v>
      </c>
      <c r="I14" s="6">
        <f t="shared" si="6"/>
        <v>4.7504125841401207E-2</v>
      </c>
      <c r="J14" s="6">
        <f t="shared" si="0"/>
        <v>4.1759434518767714E-2</v>
      </c>
      <c r="K14" s="9">
        <v>1.95</v>
      </c>
      <c r="L14" s="7">
        <f t="shared" ref="L14:L19" si="8">+K14/G14-1</f>
        <v>-2.5000000000000022E-2</v>
      </c>
      <c r="M14" s="21">
        <f t="shared" si="1"/>
        <v>-1250.0000000000011</v>
      </c>
    </row>
    <row r="15" spans="1:14" ht="14.25">
      <c r="B15" t="s">
        <v>60</v>
      </c>
      <c r="C15" s="1">
        <v>45979</v>
      </c>
      <c r="D15" s="1">
        <v>46008</v>
      </c>
      <c r="E15" s="2"/>
      <c r="F15" s="2">
        <v>2500</v>
      </c>
      <c r="G15" s="3">
        <v>19.71</v>
      </c>
      <c r="H15" s="2">
        <f t="shared" si="5"/>
        <v>49275</v>
      </c>
      <c r="I15" s="6">
        <f>+H15/A1</f>
        <v>4.6815316016700886E-2</v>
      </c>
      <c r="J15" s="6">
        <f t="shared" si="0"/>
        <v>3.6662641998015555E-2</v>
      </c>
      <c r="K15" s="9">
        <v>17.12</v>
      </c>
      <c r="L15" s="7">
        <f t="shared" si="8"/>
        <v>-0.13140537798072038</v>
      </c>
      <c r="M15" s="21">
        <f t="shared" si="1"/>
        <v>-6475</v>
      </c>
    </row>
    <row r="16" spans="1:14" ht="14.25">
      <c r="B16" t="s">
        <v>61</v>
      </c>
      <c r="C16" s="1">
        <v>46006</v>
      </c>
      <c r="D16" s="1">
        <v>46024</v>
      </c>
      <c r="E16" s="2"/>
      <c r="F16" s="2">
        <f>55000/5</f>
        <v>11000</v>
      </c>
      <c r="G16" s="3">
        <v>5</v>
      </c>
      <c r="H16" s="2">
        <f t="shared" ref="H16" si="9">+F16*G16</f>
        <v>55000</v>
      </c>
      <c r="I16" s="6">
        <f t="shared" ref="I16" si="10">+H16/$A$1</f>
        <v>5.2254538425541328E-2</v>
      </c>
      <c r="J16" s="6">
        <f t="shared" si="0"/>
        <v>4.6453623260569704E-2</v>
      </c>
      <c r="K16" s="9">
        <v>4.93</v>
      </c>
      <c r="L16" s="7">
        <f t="shared" si="8"/>
        <v>-1.4000000000000012E-2</v>
      </c>
      <c r="M16" s="22">
        <f t="shared" si="1"/>
        <v>-770.00000000000318</v>
      </c>
    </row>
    <row r="17" spans="2:13" ht="14.25">
      <c r="B17" t="s">
        <v>62</v>
      </c>
      <c r="C17" s="1">
        <v>46009</v>
      </c>
      <c r="D17" s="1">
        <v>46029</v>
      </c>
      <c r="F17">
        <v>2000</v>
      </c>
      <c r="G17" s="3">
        <v>25.42</v>
      </c>
      <c r="H17" s="2">
        <f>+F17*G17</f>
        <v>50840</v>
      </c>
      <c r="I17" s="6">
        <f>+H17/$A$1</f>
        <v>4.8302195155536749E-2</v>
      </c>
      <c r="J17" s="6">
        <f t="shared" si="0"/>
        <v>3.781049106991604E-2</v>
      </c>
      <c r="K17" s="9">
        <v>22.07</v>
      </c>
      <c r="L17" s="7">
        <f t="shared" si="8"/>
        <v>-0.13178599527930768</v>
      </c>
      <c r="M17" s="21">
        <f t="shared" si="1"/>
        <v>-6700.0000000000027</v>
      </c>
    </row>
    <row r="18" spans="2:13" ht="14.25">
      <c r="B18" t="s">
        <v>63</v>
      </c>
      <c r="C18" s="1">
        <v>45981</v>
      </c>
      <c r="D18" s="1">
        <v>46031</v>
      </c>
      <c r="E18" s="2"/>
      <c r="F18" s="2">
        <v>12000</v>
      </c>
      <c r="G18" s="3">
        <v>4.21</v>
      </c>
      <c r="H18" s="2">
        <f>+F18*G18</f>
        <v>50520</v>
      </c>
      <c r="I18" s="6">
        <f>+H18/$A$1</f>
        <v>4.7998168750151782E-2</v>
      </c>
      <c r="J18" s="6">
        <f t="shared" si="0"/>
        <v>5.2835321458822408E-2</v>
      </c>
      <c r="K18" s="9">
        <v>5.14</v>
      </c>
      <c r="L18" s="7">
        <f t="shared" si="8"/>
        <v>0.22090261282660317</v>
      </c>
      <c r="M18" s="22">
        <f t="shared" si="1"/>
        <v>11159.999999999996</v>
      </c>
    </row>
    <row r="19" spans="2:13" ht="14.25">
      <c r="B19" t="s">
        <v>64</v>
      </c>
      <c r="C19" s="1">
        <v>45980</v>
      </c>
      <c r="D19" s="1">
        <v>46031</v>
      </c>
      <c r="E19" s="2"/>
      <c r="F19" s="2">
        <v>12000</v>
      </c>
      <c r="G19" s="3">
        <v>4.21</v>
      </c>
      <c r="H19" s="2">
        <f t="shared" ref="H19" si="11">+F19*G19</f>
        <v>50520</v>
      </c>
      <c r="I19" s="6">
        <f t="shared" ref="I19" si="12">+H19/$A$1</f>
        <v>4.7998168750151782E-2</v>
      </c>
      <c r="J19" s="6">
        <f t="shared" si="0"/>
        <v>5.1601812008421885E-2</v>
      </c>
      <c r="K19" s="9">
        <v>5.0199999999999996</v>
      </c>
      <c r="L19" s="7">
        <f t="shared" si="8"/>
        <v>0.19239904988123513</v>
      </c>
      <c r="M19" s="22">
        <f t="shared" si="1"/>
        <v>9719.9999999999945</v>
      </c>
    </row>
    <row r="20" spans="2:13" ht="14.25">
      <c r="B20" t="s">
        <v>65</v>
      </c>
      <c r="C20" s="1">
        <v>46008</v>
      </c>
      <c r="D20" s="1">
        <v>46035</v>
      </c>
      <c r="E20" s="2"/>
      <c r="F20" s="2">
        <v>14000</v>
      </c>
      <c r="G20" s="3">
        <v>3.91</v>
      </c>
      <c r="H20" s="2">
        <f>+F20*G20</f>
        <v>54740</v>
      </c>
      <c r="I20" s="6">
        <f>+H20/$A$1</f>
        <v>5.200751697116604E-2</v>
      </c>
      <c r="J20" s="6">
        <f t="shared" si="0"/>
        <v>4.7610038370320198E-2</v>
      </c>
      <c r="K20" s="9">
        <v>3.97</v>
      </c>
      <c r="L20" s="7">
        <f>+K20/G20-1</f>
        <v>1.5345268542199531E-2</v>
      </c>
      <c r="M20" s="21">
        <f t="shared" si="1"/>
        <v>840.0000000000008</v>
      </c>
    </row>
    <row r="21" spans="2:13" ht="14.25">
      <c r="B21" t="s">
        <v>66</v>
      </c>
      <c r="C21" s="1">
        <v>46036</v>
      </c>
      <c r="D21" s="1">
        <v>46042</v>
      </c>
      <c r="E21" s="2"/>
      <c r="F21" s="2">
        <v>2616</v>
      </c>
      <c r="G21" s="3">
        <v>19.11</v>
      </c>
      <c r="H21" s="2">
        <f t="shared" ref="H21:H22" si="13">+F21*G21</f>
        <v>49991.76</v>
      </c>
      <c r="I21" s="6">
        <f t="shared" ref="I21:I22" si="14">+H21/$A$1</f>
        <v>4.7496297161462545E-2</v>
      </c>
      <c r="J21" s="6">
        <f t="shared" si="0"/>
        <v>3.9484226337503953E-2</v>
      </c>
      <c r="K21" s="9">
        <v>17.62</v>
      </c>
      <c r="L21" s="7">
        <f t="shared" ref="L21:L22" si="15">+K21/G21-1</f>
        <v>-7.7969649398220708E-2</v>
      </c>
      <c r="M21" s="22">
        <f t="shared" si="1"/>
        <v>-3897.8399999999961</v>
      </c>
    </row>
    <row r="22" spans="2:13" ht="14.25">
      <c r="B22" t="s">
        <v>67</v>
      </c>
      <c r="C22" s="1">
        <v>46002</v>
      </c>
      <c r="D22" s="1">
        <v>46043</v>
      </c>
      <c r="E22" s="2"/>
      <c r="F22" s="2">
        <v>1700</v>
      </c>
      <c r="G22" s="3">
        <v>16</v>
      </c>
      <c r="H22" s="2">
        <f t="shared" si="13"/>
        <v>27200</v>
      </c>
      <c r="I22" s="6">
        <f t="shared" si="14"/>
        <v>2.5842244457722256E-2</v>
      </c>
      <c r="J22" s="6">
        <f t="shared" si="0"/>
        <v>3.9609359018416807E-2</v>
      </c>
      <c r="K22" s="9">
        <v>27.2</v>
      </c>
      <c r="L22" s="7">
        <f t="shared" si="15"/>
        <v>0.7</v>
      </c>
      <c r="M22" s="21">
        <f t="shared" si="1"/>
        <v>19040</v>
      </c>
    </row>
    <row r="23" spans="2:13" ht="14.25">
      <c r="B23" t="s">
        <v>68</v>
      </c>
      <c r="C23" s="1">
        <v>46034</v>
      </c>
      <c r="D23" s="1">
        <v>46049</v>
      </c>
      <c r="E23" s="2"/>
      <c r="F23" s="2">
        <f>60000+26851</f>
        <v>86851</v>
      </c>
      <c r="G23" s="3">
        <v>1.88</v>
      </c>
      <c r="H23" s="2">
        <f t="shared" ref="H23:H35" si="16">+F23*G23</f>
        <v>163279.88</v>
      </c>
      <c r="I23" s="6">
        <f t="shared" ref="I23" si="17">+H23/$A$1</f>
        <v>0.15512935933777777</v>
      </c>
      <c r="J23" s="6">
        <f t="shared" si="0"/>
        <v>0.1234988462495705</v>
      </c>
      <c r="K23" s="9">
        <v>1.66</v>
      </c>
      <c r="L23" s="7">
        <f t="shared" ref="L23" si="18">+K23/G23-1</f>
        <v>-0.11702127659574468</v>
      </c>
      <c r="M23" s="21">
        <f t="shared" si="1"/>
        <v>-19107.219999999998</v>
      </c>
    </row>
    <row r="24" spans="2:13" ht="14.25">
      <c r="B24" t="s">
        <v>69</v>
      </c>
      <c r="C24" s="1">
        <v>46036</v>
      </c>
      <c r="D24" s="1">
        <v>46050</v>
      </c>
      <c r="E24" s="2"/>
      <c r="F24" s="2">
        <v>5568</v>
      </c>
      <c r="G24" s="3">
        <v>8.98</v>
      </c>
      <c r="H24" s="2">
        <f t="shared" si="16"/>
        <v>50000.639999999999</v>
      </c>
      <c r="I24" s="6">
        <f t="shared" ref="I24" si="19">+H24/$A$1</f>
        <v>4.7504733894211976E-2</v>
      </c>
      <c r="J24" s="6">
        <f t="shared" si="0"/>
        <v>3.9682821359018433E-2</v>
      </c>
      <c r="K24" s="9">
        <v>8.32</v>
      </c>
      <c r="L24" s="7">
        <f t="shared" ref="L24" si="20">+K24/G24-1</f>
        <v>-7.3496659242761719E-2</v>
      </c>
      <c r="M24" s="23">
        <f t="shared" si="1"/>
        <v>-3674.880000000001</v>
      </c>
    </row>
    <row r="25" spans="2:13" ht="14.25">
      <c r="B25" t="s">
        <v>70</v>
      </c>
      <c r="C25" s="1">
        <v>46045</v>
      </c>
      <c r="D25" s="1">
        <v>46050</v>
      </c>
      <c r="E25" s="2"/>
      <c r="F25" s="2">
        <f>ROUND(50000/G25,0)</f>
        <v>24631</v>
      </c>
      <c r="G25" s="3">
        <v>2.0299999999999998</v>
      </c>
      <c r="H25" s="2">
        <f t="shared" si="16"/>
        <v>50000.929999999993</v>
      </c>
      <c r="I25" s="6">
        <f t="shared" ref="I25" si="21">+H25/$A$1</f>
        <v>4.7505009418141848E-2</v>
      </c>
      <c r="J25" s="6">
        <f t="shared" si="0"/>
        <v>4.0510095030420384E-2</v>
      </c>
      <c r="K25" s="9">
        <v>1.92</v>
      </c>
      <c r="L25" s="7">
        <f t="shared" ref="L25" si="22">+K25/G25-1</f>
        <v>-5.4187192118226535E-2</v>
      </c>
      <c r="M25" s="23">
        <f t="shared" si="1"/>
        <v>-2709.4099999999971</v>
      </c>
    </row>
    <row r="26" spans="2:13" ht="14.25">
      <c r="B26" t="s">
        <v>71</v>
      </c>
      <c r="C26" s="1">
        <v>46042</v>
      </c>
      <c r="D26" s="1">
        <v>46052</v>
      </c>
      <c r="E26" s="2"/>
      <c r="F26" s="2">
        <f>ROUND(50000/G26,0)</f>
        <v>18116</v>
      </c>
      <c r="G26" s="3">
        <v>2.76</v>
      </c>
      <c r="H26" s="2">
        <f t="shared" si="16"/>
        <v>50000.159999999996</v>
      </c>
      <c r="I26" s="6">
        <f>+H26/$A$1</f>
        <v>4.7504277854603899E-2</v>
      </c>
      <c r="J26" s="6">
        <f t="shared" si="0"/>
        <v>3.8485220739285127E-2</v>
      </c>
      <c r="K26" s="9">
        <v>2.48</v>
      </c>
      <c r="L26" s="7">
        <f>+K26/G26-1</f>
        <v>-0.10144927536231874</v>
      </c>
      <c r="M26" s="21">
        <f t="shared" si="1"/>
        <v>-5072.4799999999968</v>
      </c>
    </row>
    <row r="27" spans="2:13" ht="14.25">
      <c r="B27" t="s">
        <v>72</v>
      </c>
      <c r="C27" s="1">
        <v>46031</v>
      </c>
      <c r="D27" s="1">
        <v>46052</v>
      </c>
      <c r="E27" s="2"/>
      <c r="F27" s="2">
        <v>2778</v>
      </c>
      <c r="G27" s="3">
        <v>18</v>
      </c>
      <c r="H27" s="2">
        <f t="shared" si="16"/>
        <v>50004</v>
      </c>
      <c r="I27" s="6">
        <f t="shared" ref="I27" si="23">+H27/$A$1</f>
        <v>4.7507926171468519E-2</v>
      </c>
      <c r="J27" s="6">
        <f t="shared" si="0"/>
        <v>4.9234861561784596E-2</v>
      </c>
      <c r="K27" s="9">
        <v>20.69</v>
      </c>
      <c r="L27" s="7">
        <f t="shared" ref="L27" si="24">+K27/G27-1</f>
        <v>0.14944444444444449</v>
      </c>
      <c r="M27" s="21">
        <f t="shared" si="1"/>
        <v>7472.8200000000033</v>
      </c>
    </row>
    <row r="28" spans="2:13" ht="14.25">
      <c r="B28" t="s">
        <v>73</v>
      </c>
      <c r="C28" s="1">
        <v>45981</v>
      </c>
      <c r="D28" s="1">
        <v>46057</v>
      </c>
      <c r="E28" s="2"/>
      <c r="F28" s="2">
        <v>670</v>
      </c>
      <c r="G28" s="3">
        <v>74.69</v>
      </c>
      <c r="H28" s="2">
        <f t="shared" si="16"/>
        <v>50042.299999999996</v>
      </c>
      <c r="I28" s="6">
        <f>+H28/$A$1</f>
        <v>4.7544314331863027E-2</v>
      </c>
      <c r="J28" s="6">
        <f t="shared" si="0"/>
        <v>4.4306974175358796E-2</v>
      </c>
      <c r="K28" s="9">
        <v>77.2</v>
      </c>
      <c r="L28" s="7">
        <f>+K28/G28-1</f>
        <v>3.3605569688043957E-2</v>
      </c>
      <c r="M28" s="23">
        <f t="shared" si="1"/>
        <v>1681.7000000000035</v>
      </c>
    </row>
    <row r="29" spans="2:13" ht="14.25">
      <c r="B29" t="s">
        <v>74</v>
      </c>
      <c r="C29" s="1">
        <v>45981</v>
      </c>
      <c r="D29" s="1">
        <v>46057</v>
      </c>
      <c r="E29" s="2"/>
      <c r="F29" s="2">
        <v>6500</v>
      </c>
      <c r="G29" s="3">
        <v>7.65</v>
      </c>
      <c r="H29" s="2">
        <f t="shared" si="16"/>
        <v>49725</v>
      </c>
      <c r="I29" s="6">
        <f>+H29/$A$1</f>
        <v>4.7242853149273498E-2</v>
      </c>
      <c r="J29" s="6">
        <f t="shared" si="0"/>
        <v>5.9561374378645268E-2</v>
      </c>
      <c r="K29" s="9">
        <f>(4300*10.88+2200*10.34)/F29</f>
        <v>10.697230769230769</v>
      </c>
      <c r="L29" s="7">
        <f>+K29/G29-1</f>
        <v>0.3983308195072901</v>
      </c>
      <c r="M29" s="23">
        <f t="shared" si="1"/>
        <v>19806.999999999996</v>
      </c>
    </row>
    <row r="30" spans="2:13" ht="14.25">
      <c r="B30" t="s">
        <v>75</v>
      </c>
      <c r="C30" s="1">
        <v>46002</v>
      </c>
      <c r="D30" s="1">
        <v>46057</v>
      </c>
      <c r="E30" s="2"/>
      <c r="F30" s="2">
        <v>1700</v>
      </c>
      <c r="G30" s="3">
        <v>16</v>
      </c>
      <c r="H30" s="2">
        <f t="shared" si="16"/>
        <v>27200</v>
      </c>
      <c r="I30" s="6">
        <f>+H30/$A$1</f>
        <v>2.5842244457722256E-2</v>
      </c>
      <c r="J30" s="6">
        <f t="shared" si="0"/>
        <v>3.3329596670579137E-2</v>
      </c>
      <c r="K30" s="9">
        <f>+(1000*23.04+700*22.67)/F30</f>
        <v>22.887647058823529</v>
      </c>
      <c r="L30" s="7">
        <f>+K30/G30-1</f>
        <v>0.43047794117647054</v>
      </c>
      <c r="M30" s="23">
        <f t="shared" si="1"/>
        <v>11708.999999999998</v>
      </c>
    </row>
    <row r="31" spans="2:13" ht="14.25">
      <c r="B31" t="s">
        <v>76</v>
      </c>
      <c r="C31" s="1">
        <v>46050</v>
      </c>
      <c r="D31" s="1">
        <v>46057</v>
      </c>
      <c r="E31" s="2"/>
      <c r="F31" s="2">
        <v>10163</v>
      </c>
      <c r="G31" s="3">
        <v>4.92</v>
      </c>
      <c r="H31" s="2">
        <f t="shared" si="16"/>
        <v>50001.96</v>
      </c>
      <c r="I31" s="6">
        <f>+H31/$A$1</f>
        <v>4.7505988003134186E-2</v>
      </c>
      <c r="J31" s="6">
        <f t="shared" si="0"/>
        <v>3.9610772414662057E-2</v>
      </c>
      <c r="K31" s="9">
        <v>4.55</v>
      </c>
      <c r="L31" s="7">
        <f>+K31/G31-1</f>
        <v>-7.5203252032520318E-2</v>
      </c>
      <c r="M31" s="23">
        <f t="shared" si="1"/>
        <v>-3760.3100000000013</v>
      </c>
    </row>
    <row r="32" spans="2:13" ht="14.25">
      <c r="B32" t="s">
        <v>77</v>
      </c>
      <c r="C32" s="1">
        <v>46031</v>
      </c>
      <c r="D32" s="1">
        <v>46057</v>
      </c>
      <c r="E32" s="2"/>
      <c r="F32" s="2">
        <f>1800+907</f>
        <v>2707</v>
      </c>
      <c r="G32" s="3">
        <v>18.47</v>
      </c>
      <c r="H32" s="2">
        <f t="shared" si="16"/>
        <v>49998.289999999994</v>
      </c>
      <c r="I32" s="6">
        <f t="shared" ref="I32" si="25">+H32/$A$1</f>
        <v>4.7502501200297427E-2</v>
      </c>
      <c r="J32" s="6">
        <f t="shared" si="0"/>
        <v>4.370019031821594E-2</v>
      </c>
      <c r="K32" s="9">
        <f>+(1800*19.01+907*18.52)/F32</f>
        <v>18.845821943110455</v>
      </c>
      <c r="L32" s="7">
        <f t="shared" ref="L32" si="26">+K32/G32-1</f>
        <v>2.0347695891199447E-2</v>
      </c>
      <c r="M32" s="23">
        <f t="shared" si="1"/>
        <v>1017.3500000000035</v>
      </c>
    </row>
    <row r="33" spans="2:13" ht="14.25">
      <c r="B33" t="s">
        <v>78</v>
      </c>
      <c r="C33" s="1">
        <v>46002</v>
      </c>
      <c r="D33" s="1">
        <v>46057</v>
      </c>
      <c r="E33" s="2"/>
      <c r="F33" s="2">
        <v>2300</v>
      </c>
      <c r="G33" s="3">
        <v>24</v>
      </c>
      <c r="H33" s="2">
        <f t="shared" si="16"/>
        <v>55200</v>
      </c>
      <c r="I33" s="6">
        <f>+H33/$A$1</f>
        <v>5.2444554928906935E-2</v>
      </c>
      <c r="J33" s="6">
        <f t="shared" si="0"/>
        <v>4.9894600664916168E-2</v>
      </c>
      <c r="K33" s="9">
        <f>+(1500*25.53+800*24.94)/F33</f>
        <v>25.324782608695653</v>
      </c>
      <c r="L33" s="7">
        <f>+K33/G33-1</f>
        <v>5.5199275362318945E-2</v>
      </c>
      <c r="M33" s="23">
        <f>+(K33-G33)*F33</f>
        <v>3047.0000000000018</v>
      </c>
    </row>
    <row r="34" spans="2:13" ht="14.25">
      <c r="B34" t="s">
        <v>79</v>
      </c>
      <c r="C34" s="1">
        <v>46001</v>
      </c>
      <c r="D34" s="1">
        <v>46057</v>
      </c>
      <c r="E34" s="2"/>
      <c r="F34" s="2">
        <v>1600</v>
      </c>
      <c r="G34" s="3">
        <v>34.4</v>
      </c>
      <c r="H34" s="2">
        <f t="shared" si="16"/>
        <v>55040</v>
      </c>
      <c r="I34" s="6">
        <f>+H34/$A$1</f>
        <v>5.2292541726214448E-2</v>
      </c>
      <c r="J34" s="6">
        <f t="shared" si="0"/>
        <v>4.6731162886909823E-2</v>
      </c>
      <c r="K34" s="9">
        <f>+(1000*34.46+600*33.49)/F34</f>
        <v>34.096249999999998</v>
      </c>
      <c r="L34" s="7">
        <f>+K34/G34-1</f>
        <v>-8.8299418604651514E-3</v>
      </c>
      <c r="M34" s="23">
        <f>+(K34-G34)*F34</f>
        <v>-486.00000000000136</v>
      </c>
    </row>
    <row r="35" spans="2:13" ht="14.25">
      <c r="B35" t="s">
        <v>80</v>
      </c>
      <c r="C35" s="1">
        <v>46043</v>
      </c>
      <c r="D35" s="1">
        <v>46057</v>
      </c>
      <c r="E35" s="2"/>
      <c r="F35" s="2">
        <v>2200</v>
      </c>
      <c r="G35" s="3">
        <v>11.4</v>
      </c>
      <c r="H35" s="2">
        <f t="shared" si="16"/>
        <v>25080</v>
      </c>
      <c r="I35" s="6">
        <f t="shared" ref="I35" si="27">+H35/$A$1</f>
        <v>2.3828069522046847E-2</v>
      </c>
      <c r="J35" s="6">
        <f t="shared" ref="J35:J68" si="28">+K35*F35/$K$91</f>
        <v>2.0880573863168859E-2</v>
      </c>
      <c r="K35" s="9">
        <v>11.08</v>
      </c>
      <c r="L35" s="7">
        <f t="shared" ref="L35:L36" si="29">+K35/G35-1</f>
        <v>-2.8070175438596467E-2</v>
      </c>
      <c r="M35" s="23">
        <f t="shared" ref="M35:M36" si="30">+(K35-G35)*F35</f>
        <v>-704.00000000000068</v>
      </c>
    </row>
    <row r="36" spans="2:13" ht="14.25">
      <c r="B36" t="s">
        <v>81</v>
      </c>
      <c r="C36" s="1">
        <v>45979</v>
      </c>
      <c r="D36" s="1">
        <v>46057</v>
      </c>
      <c r="E36" s="2"/>
      <c r="F36" s="2">
        <v>11500</v>
      </c>
      <c r="G36" s="3">
        <v>4.32</v>
      </c>
      <c r="H36" s="2">
        <f>+F36*G36</f>
        <v>49680</v>
      </c>
      <c r="I36" s="6">
        <f>+H36/$A$1</f>
        <v>4.7200099436016239E-2</v>
      </c>
      <c r="J36" s="6">
        <f t="shared" si="28"/>
        <v>5.4771246012923228E-2</v>
      </c>
      <c r="K36" s="9">
        <v>5.56</v>
      </c>
      <c r="L36" s="7">
        <f t="shared" si="29"/>
        <v>0.28703703703703676</v>
      </c>
      <c r="M36" s="23">
        <f t="shared" si="30"/>
        <v>14259.999999999993</v>
      </c>
    </row>
    <row r="37" spans="2:13" ht="14.25">
      <c r="B37" t="s">
        <v>82</v>
      </c>
      <c r="C37" s="1">
        <v>46036</v>
      </c>
      <c r="D37" s="1">
        <v>46057</v>
      </c>
      <c r="E37" s="2"/>
      <c r="F37" s="2">
        <v>4558</v>
      </c>
      <c r="G37" s="3">
        <v>10.97</v>
      </c>
      <c r="H37" s="2">
        <f>+F37*G37</f>
        <v>50001.26</v>
      </c>
      <c r="I37" s="6">
        <f t="shared" ref="I37" si="31">+H37/$A$1</f>
        <v>4.7505322945372415E-2</v>
      </c>
      <c r="J37" s="6">
        <f t="shared" si="28"/>
        <v>4.8063164640509692E-2</v>
      </c>
      <c r="K37" s="9">
        <v>12.31</v>
      </c>
      <c r="L37" s="7">
        <f t="shared" ref="L37" si="32">+K37/G37-1</f>
        <v>0.12215132178669097</v>
      </c>
      <c r="M37" s="23">
        <f>+(K37-G37)*F37</f>
        <v>6107.7199999999993</v>
      </c>
    </row>
    <row r="38" spans="2:13" ht="14.25">
      <c r="B38" t="s">
        <v>83</v>
      </c>
      <c r="C38" s="1">
        <v>46030</v>
      </c>
      <c r="D38" s="1">
        <v>46057</v>
      </c>
      <c r="E38" s="2"/>
      <c r="F38" s="2">
        <v>4634</v>
      </c>
      <c r="G38" s="3">
        <v>10.79</v>
      </c>
      <c r="H38" s="2">
        <f t="shared" ref="H38:H39" si="33">+F38*G38</f>
        <v>50000.859999999993</v>
      </c>
      <c r="I38" s="6">
        <f t="shared" ref="I38" si="34">+H38/$A$1</f>
        <v>4.7504942912365671E-2</v>
      </c>
      <c r="J38" s="6">
        <f t="shared" si="28"/>
        <v>4.8269143586650881E-2</v>
      </c>
      <c r="K38" s="9">
        <v>12.16</v>
      </c>
      <c r="L38" s="7">
        <f t="shared" ref="L38" si="35">+K38/G38-1</f>
        <v>0.12696941612604284</v>
      </c>
      <c r="M38" s="23">
        <f t="shared" ref="M38" si="36">+(K38-G38)*F38</f>
        <v>6348.5800000000045</v>
      </c>
    </row>
    <row r="39" spans="2:13" ht="14.25">
      <c r="B39" t="s">
        <v>84</v>
      </c>
      <c r="C39" s="1">
        <v>46042</v>
      </c>
      <c r="D39" s="1">
        <v>46057</v>
      </c>
      <c r="E39" s="28"/>
      <c r="F39" s="28">
        <v>5952</v>
      </c>
      <c r="G39" s="3">
        <v>8.4</v>
      </c>
      <c r="H39" s="2">
        <f t="shared" si="33"/>
        <v>49996.800000000003</v>
      </c>
      <c r="I39" s="6">
        <f t="shared" ref="I39" si="37">+H39/$A$1</f>
        <v>4.7501085577347363E-2</v>
      </c>
      <c r="J39" s="6">
        <f t="shared" si="28"/>
        <v>4.1705776857675292E-2</v>
      </c>
      <c r="K39" s="9">
        <v>8.18</v>
      </c>
      <c r="L39" s="7">
        <f t="shared" ref="L39" si="38">+K39/G39-1</f>
        <v>-2.6190476190476319E-2</v>
      </c>
      <c r="M39" s="23">
        <f>+(K39-G39)*F39</f>
        <v>-1309.4400000000037</v>
      </c>
    </row>
    <row r="40" spans="2:13" ht="14.25">
      <c r="B40" t="s">
        <v>85</v>
      </c>
      <c r="C40" s="1">
        <v>46043</v>
      </c>
      <c r="D40" s="1">
        <v>46058</v>
      </c>
      <c r="E40" s="2"/>
      <c r="F40" s="2">
        <f>4386-2200</f>
        <v>2186</v>
      </c>
      <c r="G40" s="3">
        <v>11.4</v>
      </c>
      <c r="H40" s="2">
        <f t="shared" ref="H40" si="39">+F40*G40</f>
        <v>24920.400000000001</v>
      </c>
      <c r="I40" s="6">
        <f t="shared" ref="I40" si="40">+H40/$A$1</f>
        <v>2.3676436352361094E-2</v>
      </c>
      <c r="J40" s="6">
        <f t="shared" si="28"/>
        <v>1.9942507058214962E-2</v>
      </c>
      <c r="K40" s="9">
        <v>10.65</v>
      </c>
      <c r="L40" s="7">
        <f t="shared" ref="L40:L57" si="41">+K40/G40-1</f>
        <v>-6.5789473684210509E-2</v>
      </c>
      <c r="M40" s="21">
        <f>+(K40-G40)*F40</f>
        <v>-1639.5</v>
      </c>
    </row>
    <row r="41" spans="2:13" ht="14.25">
      <c r="B41" t="s">
        <v>86</v>
      </c>
      <c r="C41" s="1">
        <v>46058</v>
      </c>
      <c r="D41" s="1">
        <v>46058</v>
      </c>
      <c r="E41" s="28"/>
      <c r="F41" s="28">
        <f t="shared" ref="F41:F47" si="42">ROUND(H41/G41,0)</f>
        <v>18868</v>
      </c>
      <c r="G41" s="3">
        <v>2.65</v>
      </c>
      <c r="H41" s="2">
        <v>50000</v>
      </c>
      <c r="I41" s="6">
        <f t="shared" ref="I41" si="43">+H41/$A$1</f>
        <v>4.7504125841401207E-2</v>
      </c>
      <c r="J41" s="6">
        <f t="shared" si="28"/>
        <v>4.1375744551390356E-2</v>
      </c>
      <c r="K41" s="9">
        <v>2.56</v>
      </c>
      <c r="L41" s="7">
        <f t="shared" si="41"/>
        <v>-3.3962264150943389E-2</v>
      </c>
      <c r="M41" s="23">
        <f>+(K41-G41)*F41</f>
        <v>-1698.1199999999974</v>
      </c>
    </row>
    <row r="42" spans="2:13" ht="14.25">
      <c r="B42" t="s">
        <v>87</v>
      </c>
      <c r="C42" s="1">
        <v>46059</v>
      </c>
      <c r="D42" s="1">
        <v>46064</v>
      </c>
      <c r="E42" s="28"/>
      <c r="F42" s="28">
        <f t="shared" si="42"/>
        <v>1842</v>
      </c>
      <c r="G42" s="3">
        <v>27.15</v>
      </c>
      <c r="H42" s="2">
        <v>50000</v>
      </c>
      <c r="I42" s="6">
        <f t="shared" ref="I42:I57" si="44">+H42/$A$1</f>
        <v>4.7504125841401207E-2</v>
      </c>
      <c r="J42" s="6">
        <f t="shared" si="28"/>
        <v>4.127692673875271E-2</v>
      </c>
      <c r="K42" s="9">
        <v>26.16</v>
      </c>
      <c r="L42" s="7">
        <f t="shared" si="41"/>
        <v>-3.6464088397790029E-2</v>
      </c>
      <c r="M42" s="21">
        <f t="shared" ref="M42:M57" si="45">+(K42-G42)*F42</f>
        <v>-1823.5799999999972</v>
      </c>
    </row>
    <row r="43" spans="2:13" ht="14.25">
      <c r="B43" t="s">
        <v>88</v>
      </c>
      <c r="C43" s="1">
        <v>46063</v>
      </c>
      <c r="D43" s="1">
        <v>46064</v>
      </c>
      <c r="E43" s="28"/>
      <c r="F43" s="28">
        <f t="shared" si="42"/>
        <v>10799</v>
      </c>
      <c r="G43" s="3">
        <v>4.63</v>
      </c>
      <c r="H43" s="2">
        <v>50000</v>
      </c>
      <c r="I43" s="6">
        <f t="shared" si="44"/>
        <v>4.7504125841401207E-2</v>
      </c>
      <c r="J43" s="6">
        <f t="shared" si="28"/>
        <v>4.1072061377532026E-2</v>
      </c>
      <c r="K43" s="9">
        <v>4.4400000000000004</v>
      </c>
      <c r="L43" s="7">
        <f t="shared" si="41"/>
        <v>-4.1036717062634898E-2</v>
      </c>
      <c r="M43" s="21">
        <f t="shared" si="45"/>
        <v>-2051.8099999999945</v>
      </c>
    </row>
    <row r="44" spans="2:13" ht="14.25">
      <c r="B44" t="s">
        <v>89</v>
      </c>
      <c r="C44" s="1">
        <v>46059</v>
      </c>
      <c r="D44" s="1">
        <v>46070</v>
      </c>
      <c r="E44" s="28"/>
      <c r="F44" s="28">
        <f t="shared" si="42"/>
        <v>18248</v>
      </c>
      <c r="G44" s="3">
        <v>2.74</v>
      </c>
      <c r="H44" s="2">
        <v>50000</v>
      </c>
      <c r="I44" s="6">
        <f t="shared" si="44"/>
        <v>4.7504125841401207E-2</v>
      </c>
      <c r="J44" s="6">
        <f t="shared" si="28"/>
        <v>3.9390890789090312E-2</v>
      </c>
      <c r="K44" s="9">
        <v>2.52</v>
      </c>
      <c r="L44" s="7">
        <f t="shared" si="41"/>
        <v>-8.0291970802919721E-2</v>
      </c>
      <c r="M44" s="23">
        <f t="shared" si="45"/>
        <v>-4014.5600000000036</v>
      </c>
    </row>
    <row r="45" spans="2:13" ht="14.25">
      <c r="B45" t="s">
        <v>90</v>
      </c>
      <c r="C45" s="1">
        <v>46064</v>
      </c>
      <c r="D45" s="1">
        <v>46070</v>
      </c>
      <c r="E45" s="28"/>
      <c r="F45" s="28">
        <f t="shared" si="42"/>
        <v>767</v>
      </c>
      <c r="G45" s="3">
        <v>65.19</v>
      </c>
      <c r="H45" s="2">
        <v>50000</v>
      </c>
      <c r="I45" s="6">
        <f t="shared" si="44"/>
        <v>4.7504125841401207E-2</v>
      </c>
      <c r="J45" s="6">
        <f t="shared" si="28"/>
        <v>3.9026697123859554E-2</v>
      </c>
      <c r="K45" s="9">
        <v>59.4</v>
      </c>
      <c r="L45" s="7">
        <f t="shared" si="41"/>
        <v>-8.881730326737225E-2</v>
      </c>
      <c r="M45" s="23">
        <f t="shared" si="45"/>
        <v>-4440.9299999999994</v>
      </c>
    </row>
    <row r="46" spans="2:13" ht="14.25">
      <c r="B46" t="s">
        <v>91</v>
      </c>
      <c r="C46" s="1">
        <v>46071</v>
      </c>
      <c r="D46" s="1">
        <v>46078</v>
      </c>
      <c r="E46" s="28"/>
      <c r="F46" s="28">
        <f t="shared" si="42"/>
        <v>2764</v>
      </c>
      <c r="G46" s="3">
        <v>18.09</v>
      </c>
      <c r="H46" s="2">
        <v>50000</v>
      </c>
      <c r="I46" s="6">
        <f t="shared" si="44"/>
        <v>4.7504125841401207E-2</v>
      </c>
      <c r="J46" s="6">
        <f t="shared" si="28"/>
        <v>3.9468773205222546E-2</v>
      </c>
      <c r="K46" s="9">
        <v>16.670000000000002</v>
      </c>
      <c r="L46" s="7">
        <f t="shared" si="41"/>
        <v>-7.8496406854615675E-2</v>
      </c>
      <c r="M46" s="21">
        <f t="shared" si="45"/>
        <v>-3924.8799999999951</v>
      </c>
    </row>
    <row r="47" spans="2:13" ht="14.25">
      <c r="B47" t="s">
        <v>92</v>
      </c>
      <c r="C47" s="1">
        <v>46056</v>
      </c>
      <c r="D47" s="1">
        <v>46080</v>
      </c>
      <c r="E47" s="28"/>
      <c r="F47" s="28">
        <f t="shared" si="42"/>
        <v>8993</v>
      </c>
      <c r="G47" s="3">
        <v>5.56</v>
      </c>
      <c r="H47" s="2">
        <v>50000</v>
      </c>
      <c r="I47" s="6">
        <f t="shared" si="44"/>
        <v>4.7504125841401207E-2</v>
      </c>
      <c r="J47" s="6">
        <f t="shared" si="28"/>
        <v>4.2445942490180556E-2</v>
      </c>
      <c r="K47" s="9">
        <v>5.51</v>
      </c>
      <c r="L47" s="7">
        <f t="shared" si="41"/>
        <v>-8.9928057553956275E-3</v>
      </c>
      <c r="M47" s="23">
        <f t="shared" si="45"/>
        <v>-449.64999999999839</v>
      </c>
    </row>
    <row r="48" spans="2:13" ht="14.25">
      <c r="B48" t="s">
        <v>93</v>
      </c>
      <c r="C48" s="1">
        <v>46072</v>
      </c>
      <c r="D48" s="1">
        <v>46084</v>
      </c>
      <c r="E48" s="28"/>
      <c r="F48" s="28">
        <v>7356</v>
      </c>
      <c r="G48" s="3">
        <v>13.48</v>
      </c>
      <c r="H48" s="2">
        <v>100000</v>
      </c>
      <c r="I48" s="6">
        <f t="shared" si="44"/>
        <v>9.5008251682802414E-2</v>
      </c>
      <c r="J48" s="6">
        <f t="shared" si="28"/>
        <v>8.0403024165823705E-2</v>
      </c>
      <c r="K48" s="9">
        <v>12.76</v>
      </c>
      <c r="L48" s="7">
        <f t="shared" si="41"/>
        <v>-5.3412462908011937E-2</v>
      </c>
      <c r="M48" s="21">
        <f t="shared" si="45"/>
        <v>-5296.3200000000043</v>
      </c>
    </row>
    <row r="49" spans="1:13" ht="14.25">
      <c r="B49" t="s">
        <v>94</v>
      </c>
      <c r="C49" s="1">
        <v>46071</v>
      </c>
      <c r="D49" s="1">
        <v>46084</v>
      </c>
      <c r="E49" s="28"/>
      <c r="F49" s="28">
        <f t="shared" ref="F49:F57" si="46">ROUND(H49/G49,0)</f>
        <v>799</v>
      </c>
      <c r="G49" s="3">
        <v>62.61</v>
      </c>
      <c r="H49" s="2">
        <v>50000</v>
      </c>
      <c r="I49" s="6">
        <f t="shared" si="44"/>
        <v>4.7504125841401207E-2</v>
      </c>
      <c r="J49" s="6">
        <f t="shared" si="28"/>
        <v>4.3221528689195585E-2</v>
      </c>
      <c r="K49" s="9">
        <v>63.15</v>
      </c>
      <c r="L49" s="7">
        <f t="shared" si="41"/>
        <v>8.6248203162433423E-3</v>
      </c>
      <c r="M49" s="21">
        <f t="shared" si="45"/>
        <v>431.4599999999993</v>
      </c>
    </row>
    <row r="50" spans="1:13" ht="14.25">
      <c r="B50" t="s">
        <v>95</v>
      </c>
      <c r="C50" s="1">
        <v>46071</v>
      </c>
      <c r="D50" s="1">
        <v>46084</v>
      </c>
      <c r="E50" s="28"/>
      <c r="F50" s="28">
        <f t="shared" si="46"/>
        <v>298</v>
      </c>
      <c r="G50" s="3">
        <v>168</v>
      </c>
      <c r="H50" s="2">
        <v>50000</v>
      </c>
      <c r="I50" s="6">
        <f t="shared" si="44"/>
        <v>4.7504125841401207E-2</v>
      </c>
      <c r="J50" s="6">
        <f t="shared" si="28"/>
        <v>3.9839665512052001E-2</v>
      </c>
      <c r="K50" s="9">
        <v>156.07</v>
      </c>
      <c r="L50" s="7">
        <f t="shared" si="41"/>
        <v>-7.1011904761904776E-2</v>
      </c>
      <c r="M50" s="21">
        <f t="shared" si="45"/>
        <v>-3555.1400000000021</v>
      </c>
    </row>
    <row r="51" spans="1:13" ht="14.25">
      <c r="B51" t="s">
        <v>96</v>
      </c>
      <c r="C51" s="1">
        <v>46073</v>
      </c>
      <c r="D51" s="1">
        <v>46084</v>
      </c>
      <c r="E51" s="28"/>
      <c r="F51" s="28">
        <f t="shared" si="46"/>
        <v>816</v>
      </c>
      <c r="G51" s="3">
        <v>61.27</v>
      </c>
      <c r="H51" s="2">
        <v>50000</v>
      </c>
      <c r="I51" s="6">
        <f t="shared" si="44"/>
        <v>4.7504125841401207E-2</v>
      </c>
      <c r="J51" s="6">
        <f t="shared" si="28"/>
        <v>4.2225906675927509E-2</v>
      </c>
      <c r="K51" s="9">
        <v>60.41</v>
      </c>
      <c r="L51" s="7">
        <f t="shared" si="41"/>
        <v>-1.4036233066753834E-2</v>
      </c>
      <c r="M51" s="21">
        <f t="shared" si="45"/>
        <v>-701.76000000000533</v>
      </c>
    </row>
    <row r="52" spans="1:13" ht="14.25">
      <c r="B52" t="s">
        <v>97</v>
      </c>
      <c r="C52" s="1">
        <v>46065</v>
      </c>
      <c r="D52" s="1">
        <v>46084</v>
      </c>
      <c r="E52" s="28"/>
      <c r="F52" s="28">
        <f t="shared" si="46"/>
        <v>2290</v>
      </c>
      <c r="G52" s="3">
        <v>21.83</v>
      </c>
      <c r="H52" s="2">
        <v>50000</v>
      </c>
      <c r="I52" s="6">
        <f t="shared" si="44"/>
        <v>4.7504125841401207E-2</v>
      </c>
      <c r="J52" s="6">
        <f t="shared" si="28"/>
        <v>5.4690039974105195E-2</v>
      </c>
      <c r="K52" s="9">
        <v>27.88</v>
      </c>
      <c r="L52" s="7">
        <f t="shared" si="41"/>
        <v>0.2771415483279891</v>
      </c>
      <c r="M52" s="21">
        <f t="shared" si="45"/>
        <v>13854.500000000002</v>
      </c>
    </row>
    <row r="53" spans="1:13" ht="14.25">
      <c r="B53" t="s">
        <v>98</v>
      </c>
      <c r="C53" s="1">
        <v>46072</v>
      </c>
      <c r="D53" s="1">
        <v>46084</v>
      </c>
      <c r="E53" s="28"/>
      <c r="F53" s="28">
        <f t="shared" si="46"/>
        <v>1934</v>
      </c>
      <c r="G53" s="3">
        <v>25.85</v>
      </c>
      <c r="H53" s="2">
        <v>50000</v>
      </c>
      <c r="I53" s="6">
        <f t="shared" si="44"/>
        <v>4.7504125841401207E-2</v>
      </c>
      <c r="J53" s="6">
        <f t="shared" si="28"/>
        <v>4.1963494672430497E-2</v>
      </c>
      <c r="K53" s="9">
        <v>25.33</v>
      </c>
      <c r="L53" s="7">
        <f t="shared" si="41"/>
        <v>-2.011605415860751E-2</v>
      </c>
      <c r="M53" s="21">
        <f t="shared" si="45"/>
        <v>-1005.6800000000061</v>
      </c>
    </row>
    <row r="54" spans="1:13" ht="14.25">
      <c r="B54" t="s">
        <v>99</v>
      </c>
      <c r="C54" s="1">
        <v>46084</v>
      </c>
      <c r="D54" s="1">
        <v>46100</v>
      </c>
      <c r="E54" s="28"/>
      <c r="F54" s="28">
        <f t="shared" si="46"/>
        <v>2740</v>
      </c>
      <c r="G54" s="3">
        <v>18.25</v>
      </c>
      <c r="H54" s="2">
        <v>50000</v>
      </c>
      <c r="I54" s="6">
        <f t="shared" si="44"/>
        <v>4.7504125841401207E-2</v>
      </c>
      <c r="J54" s="6">
        <f t="shared" si="28"/>
        <v>3.9454656374845735E-2</v>
      </c>
      <c r="K54" s="9">
        <v>16.809999999999999</v>
      </c>
      <c r="L54" s="7">
        <f t="shared" si="41"/>
        <v>-7.8904109589041149E-2</v>
      </c>
      <c r="M54" s="23">
        <f t="shared" si="45"/>
        <v>-3945.6000000000035</v>
      </c>
    </row>
    <row r="55" spans="1:13" ht="14.25">
      <c r="B55" t="s">
        <v>100</v>
      </c>
      <c r="C55" s="1">
        <v>46097</v>
      </c>
      <c r="D55" s="1">
        <v>46100</v>
      </c>
      <c r="E55" s="28"/>
      <c r="F55" s="28">
        <f t="shared" si="46"/>
        <v>3720</v>
      </c>
      <c r="G55" s="3">
        <v>13.44</v>
      </c>
      <c r="H55" s="2">
        <v>50000</v>
      </c>
      <c r="I55" s="6">
        <f t="shared" si="44"/>
        <v>4.7504125841401207E-2</v>
      </c>
      <c r="J55" s="6">
        <f t="shared" si="28"/>
        <v>4.0979239791389378E-2</v>
      </c>
      <c r="K55" s="9">
        <v>12.86</v>
      </c>
      <c r="L55" s="7">
        <f t="shared" si="41"/>
        <v>-4.3154761904761862E-2</v>
      </c>
      <c r="M55" s="23">
        <f t="shared" si="45"/>
        <v>-2157.6000000000004</v>
      </c>
    </row>
    <row r="56" spans="1:13" ht="14.25">
      <c r="B56" t="s">
        <v>101</v>
      </c>
      <c r="C56" s="1">
        <v>46093</v>
      </c>
      <c r="D56" s="1">
        <v>46100</v>
      </c>
      <c r="E56" s="28"/>
      <c r="F56" s="28">
        <f t="shared" si="46"/>
        <v>3994</v>
      </c>
      <c r="G56" s="3">
        <v>12.52</v>
      </c>
      <c r="H56" s="2">
        <v>50000</v>
      </c>
      <c r="I56" s="6">
        <f t="shared" si="44"/>
        <v>4.7504125841401207E-2</v>
      </c>
      <c r="J56" s="6">
        <f t="shared" si="28"/>
        <v>3.893411538677672E-2</v>
      </c>
      <c r="K56" s="9">
        <v>11.38</v>
      </c>
      <c r="L56" s="7">
        <f t="shared" si="41"/>
        <v>-9.105431309904144E-2</v>
      </c>
      <c r="M56" s="23">
        <f t="shared" si="45"/>
        <v>-4553.1599999999953</v>
      </c>
    </row>
    <row r="57" spans="1:13" ht="14.25">
      <c r="B57" t="s">
        <v>102</v>
      </c>
      <c r="C57" s="1">
        <v>46100</v>
      </c>
      <c r="D57" s="1">
        <v>46105</v>
      </c>
      <c r="E57" s="28"/>
      <c r="F57" s="28">
        <f t="shared" si="46"/>
        <v>1311</v>
      </c>
      <c r="G57" s="3">
        <v>38.15</v>
      </c>
      <c r="H57" s="2">
        <v>50000</v>
      </c>
      <c r="I57" s="6">
        <f t="shared" si="44"/>
        <v>4.7504125841401207E-2</v>
      </c>
      <c r="J57" s="6">
        <f t="shared" si="28"/>
        <v>4.1315448210964181E-2</v>
      </c>
      <c r="K57" s="9">
        <v>36.79</v>
      </c>
      <c r="L57" s="7">
        <f t="shared" si="41"/>
        <v>-3.5648754914809899E-2</v>
      </c>
      <c r="M57" s="21">
        <f t="shared" si="45"/>
        <v>-1782.9599999999994</v>
      </c>
    </row>
    <row r="58" spans="1:13" ht="14.25">
      <c r="A58" s="37" t="s">
        <v>35</v>
      </c>
      <c r="B58" t="s">
        <v>103</v>
      </c>
      <c r="C58" s="1">
        <v>46090</v>
      </c>
      <c r="D58" s="1">
        <v>46114</v>
      </c>
      <c r="E58" s="28"/>
      <c r="F58" s="28">
        <v>980</v>
      </c>
      <c r="G58" s="3">
        <v>102</v>
      </c>
      <c r="H58" s="2">
        <f t="shared" ref="H58:H60" si="47">+F58*G58</f>
        <v>99960</v>
      </c>
      <c r="I58" s="6">
        <f>+H58/$A$1</f>
        <v>9.4970248382129294E-2</v>
      </c>
      <c r="J58" s="6">
        <f t="shared" si="28"/>
        <v>9.0662944604438467E-2</v>
      </c>
      <c r="K58" s="9">
        <v>108</v>
      </c>
      <c r="L58" s="38">
        <f>+G58/K58-1</f>
        <v>-5.555555555555558E-2</v>
      </c>
      <c r="M58" s="29">
        <f>+(G58-K58)*F58</f>
        <v>-5880</v>
      </c>
    </row>
    <row r="59" spans="1:13" ht="14.25">
      <c r="B59" t="s">
        <v>104</v>
      </c>
      <c r="C59" s="1">
        <v>46112</v>
      </c>
      <c r="D59" s="1">
        <v>46114</v>
      </c>
      <c r="E59" s="28"/>
      <c r="F59" s="28">
        <v>9311</v>
      </c>
      <c r="G59" s="3">
        <v>5.37</v>
      </c>
      <c r="H59" s="2">
        <f t="shared" si="47"/>
        <v>50000.07</v>
      </c>
      <c r="I59" s="6">
        <f>+H59/$A$1</f>
        <v>4.7504192347177385E-2</v>
      </c>
      <c r="J59" s="6">
        <f t="shared" si="28"/>
        <v>4.1952907049647895E-2</v>
      </c>
      <c r="K59" s="9">
        <v>5.26</v>
      </c>
      <c r="L59" s="7">
        <f>+K59/G59-1</f>
        <v>-2.0484171322160183E-2</v>
      </c>
      <c r="M59" s="21">
        <f>+(K59-G59)*F59</f>
        <v>-1024.210000000003</v>
      </c>
    </row>
    <row r="60" spans="1:13" ht="14.25">
      <c r="B60" t="s">
        <v>105</v>
      </c>
      <c r="C60" s="1">
        <v>46118</v>
      </c>
      <c r="D60" s="1">
        <v>46119</v>
      </c>
      <c r="E60" s="28"/>
      <c r="F60" s="28">
        <v>8000</v>
      </c>
      <c r="G60" s="3">
        <v>6.25</v>
      </c>
      <c r="H60" s="2">
        <f t="shared" si="47"/>
        <v>50000</v>
      </c>
      <c r="I60" s="6">
        <f>+H60/$A$1</f>
        <v>4.7504125841401207E-2</v>
      </c>
      <c r="J60" s="6">
        <f t="shared" si="28"/>
        <v>3.9266717504416661E-2</v>
      </c>
      <c r="K60" s="9">
        <v>5.73</v>
      </c>
      <c r="L60" s="7">
        <f>+K60/G60-1</f>
        <v>-8.3199999999999941E-2</v>
      </c>
      <c r="M60" s="23">
        <f>+(K60-G60)*F60</f>
        <v>-4159.9999999999964</v>
      </c>
    </row>
    <row r="61" spans="1:13" ht="14.25">
      <c r="B61" t="s">
        <v>106</v>
      </c>
      <c r="C61" s="1">
        <v>46079</v>
      </c>
      <c r="D61" s="1">
        <v>46121</v>
      </c>
      <c r="E61" s="28"/>
      <c r="F61" s="28">
        <v>1367</v>
      </c>
      <c r="G61" s="3">
        <v>36.58</v>
      </c>
      <c r="H61" s="27">
        <f t="shared" ref="H61:H72" si="48">+F61*G61</f>
        <v>50004.86</v>
      </c>
      <c r="I61" s="6">
        <f>+H61/$A$1</f>
        <v>4.7508743242432989E-2</v>
      </c>
      <c r="J61" s="6">
        <f t="shared" si="28"/>
        <v>4.2436220037220806E-2</v>
      </c>
      <c r="K61" s="9">
        <v>36.24</v>
      </c>
      <c r="L61" s="7">
        <f>+K61/G61-1</f>
        <v>-9.2946965554947525E-3</v>
      </c>
      <c r="M61" s="21">
        <f>+(K61-G61)*F61</f>
        <v>-464.77999999999497</v>
      </c>
    </row>
    <row r="62" spans="1:13" ht="14.25">
      <c r="B62" t="s">
        <v>107</v>
      </c>
      <c r="C62" s="1">
        <v>46112</v>
      </c>
      <c r="D62" s="1">
        <v>46125</v>
      </c>
      <c r="E62" s="28"/>
      <c r="F62" s="28">
        <v>175</v>
      </c>
      <c r="G62" s="3">
        <v>94.96</v>
      </c>
      <c r="H62" s="27">
        <f t="shared" si="48"/>
        <v>16618</v>
      </c>
      <c r="I62" s="6">
        <f t="shared" ref="I62:I72" si="49">+H62/$A$1</f>
        <v>1.5788471264648104E-2</v>
      </c>
      <c r="J62" s="6">
        <f t="shared" si="28"/>
        <v>1.9457754976283256E-2</v>
      </c>
      <c r="K62" s="9">
        <v>129.80000000000001</v>
      </c>
      <c r="L62" s="7">
        <f t="shared" ref="L62:L72" si="50">+K62/G62-1</f>
        <v>0.36689132266217372</v>
      </c>
      <c r="M62" s="23">
        <f t="shared" ref="M62:M72" si="51">+(K62-G62)*F62</f>
        <v>6097.0000000000027</v>
      </c>
    </row>
    <row r="63" spans="1:13" ht="14.25">
      <c r="B63" t="s">
        <v>108</v>
      </c>
      <c r="C63" s="1">
        <v>46070</v>
      </c>
      <c r="D63" s="1">
        <v>46125</v>
      </c>
      <c r="E63" s="28"/>
      <c r="F63" s="28">
        <v>2020</v>
      </c>
      <c r="G63" s="3">
        <v>12.38</v>
      </c>
      <c r="H63" s="27">
        <f t="shared" si="48"/>
        <v>25007.600000000002</v>
      </c>
      <c r="I63" s="6">
        <f t="shared" si="49"/>
        <v>2.3759283547828497E-2</v>
      </c>
      <c r="J63" s="6">
        <f t="shared" si="28"/>
        <v>2.4138238057525241E-2</v>
      </c>
      <c r="K63" s="9">
        <v>13.95</v>
      </c>
      <c r="L63" s="7">
        <f t="shared" si="50"/>
        <v>0.12681744749596113</v>
      </c>
      <c r="M63" s="23">
        <f t="shared" si="51"/>
        <v>3171.3999999999969</v>
      </c>
    </row>
    <row r="64" spans="1:13" ht="14.25">
      <c r="B64" t="s">
        <v>109</v>
      </c>
      <c r="C64" s="1">
        <v>46121</v>
      </c>
      <c r="D64" s="1">
        <v>46126</v>
      </c>
      <c r="E64" s="28"/>
      <c r="F64" s="28">
        <v>1190</v>
      </c>
      <c r="G64" s="3">
        <v>6.31</v>
      </c>
      <c r="H64" s="27">
        <f t="shared" si="48"/>
        <v>7508.9</v>
      </c>
      <c r="I64" s="6">
        <f t="shared" si="49"/>
        <v>7.1340746106099504E-3</v>
      </c>
      <c r="J64" s="6">
        <f t="shared" si="28"/>
        <v>7.4413170802981564E-3</v>
      </c>
      <c r="K64" s="9">
        <v>7.3</v>
      </c>
      <c r="L64" s="7">
        <f t="shared" si="50"/>
        <v>0.15689381933438984</v>
      </c>
      <c r="M64" s="21">
        <f t="shared" si="51"/>
        <v>1178.1000000000004</v>
      </c>
    </row>
    <row r="65" spans="1:14" ht="14.25">
      <c r="B65" t="s">
        <v>110</v>
      </c>
      <c r="C65" s="1">
        <v>46112</v>
      </c>
      <c r="D65" s="1">
        <v>46126</v>
      </c>
      <c r="E65" s="28"/>
      <c r="F65" s="28">
        <v>48</v>
      </c>
      <c r="G65" s="3">
        <v>155.61000000000001</v>
      </c>
      <c r="H65" s="27">
        <f t="shared" si="48"/>
        <v>7469.2800000000007</v>
      </c>
      <c r="I65" s="6">
        <f t="shared" si="49"/>
        <v>7.0964323412932252E-3</v>
      </c>
      <c r="J65" s="6">
        <f t="shared" si="28"/>
        <v>7.9006280298153514E-3</v>
      </c>
      <c r="K65" s="9">
        <v>192.15</v>
      </c>
      <c r="L65" s="7">
        <f t="shared" si="50"/>
        <v>0.23481781376518218</v>
      </c>
      <c r="M65" s="21">
        <f t="shared" si="51"/>
        <v>1753.9199999999996</v>
      </c>
    </row>
    <row r="66" spans="1:14" ht="14.25">
      <c r="B66" t="s">
        <v>111</v>
      </c>
      <c r="C66" s="1">
        <v>46113</v>
      </c>
      <c r="D66" s="1">
        <v>46126</v>
      </c>
      <c r="E66" s="28"/>
      <c r="F66" s="28">
        <v>388</v>
      </c>
      <c r="G66" s="3">
        <v>19.32</v>
      </c>
      <c r="H66" s="27">
        <f t="shared" si="48"/>
        <v>7496.16</v>
      </c>
      <c r="I66" s="6">
        <f t="shared" si="49"/>
        <v>7.1219705593455612E-3</v>
      </c>
      <c r="J66" s="6">
        <f t="shared" si="28"/>
        <v>7.7108046310592716E-3</v>
      </c>
      <c r="K66" s="9">
        <v>23.2</v>
      </c>
      <c r="L66" s="7">
        <f t="shared" si="50"/>
        <v>0.20082815734989645</v>
      </c>
      <c r="M66" s="21">
        <f t="shared" si="51"/>
        <v>1505.4399999999996</v>
      </c>
    </row>
    <row r="67" spans="1:14" ht="14.25">
      <c r="B67" t="s">
        <v>112</v>
      </c>
      <c r="C67" s="1">
        <v>46086</v>
      </c>
      <c r="D67" s="1">
        <v>46127</v>
      </c>
      <c r="E67" s="28"/>
      <c r="F67" s="28">
        <f>14286*0.15</f>
        <v>2142.9</v>
      </c>
      <c r="G67" s="3">
        <v>3.5</v>
      </c>
      <c r="H67" s="27">
        <f t="shared" si="48"/>
        <v>7500.1500000000005</v>
      </c>
      <c r="I67" s="6">
        <f t="shared" si="49"/>
        <v>7.1257613885877058E-3</v>
      </c>
      <c r="J67" s="6">
        <f t="shared" si="28"/>
        <v>8.7742456791933942E-3</v>
      </c>
      <c r="K67" s="9">
        <v>4.78</v>
      </c>
      <c r="L67" s="7">
        <f t="shared" si="50"/>
        <v>0.36571428571428588</v>
      </c>
      <c r="M67" s="23">
        <f t="shared" si="51"/>
        <v>2742.9120000000007</v>
      </c>
    </row>
    <row r="68" spans="1:14" ht="14.25">
      <c r="B68" t="s">
        <v>113</v>
      </c>
      <c r="C68" s="1">
        <v>46118</v>
      </c>
      <c r="D68" s="1">
        <v>46127</v>
      </c>
      <c r="E68" s="28"/>
      <c r="F68" s="28">
        <f>3243*0.15</f>
        <v>486.45</v>
      </c>
      <c r="G68" s="3">
        <v>15.42</v>
      </c>
      <c r="H68" s="27">
        <f t="shared" si="48"/>
        <v>7501.0590000000002</v>
      </c>
      <c r="I68" s="6">
        <f t="shared" si="49"/>
        <v>7.1266250135955025E-3</v>
      </c>
      <c r="J68" s="6">
        <f t="shared" si="28"/>
        <v>8.1880550053438344E-3</v>
      </c>
      <c r="K68" s="9">
        <v>19.649999999999999</v>
      </c>
      <c r="L68" s="7">
        <f t="shared" si="50"/>
        <v>0.27431906614785984</v>
      </c>
      <c r="M68" s="23">
        <f t="shared" si="51"/>
        <v>2057.6834999999992</v>
      </c>
    </row>
    <row r="69" spans="1:14" ht="14.25">
      <c r="B69" t="s">
        <v>114</v>
      </c>
      <c r="C69" s="1">
        <v>46112</v>
      </c>
      <c r="D69" s="1">
        <v>46128</v>
      </c>
      <c r="E69" s="28"/>
      <c r="F69" s="28">
        <v>63</v>
      </c>
      <c r="G69" s="3">
        <v>94.96</v>
      </c>
      <c r="H69" s="27">
        <f t="shared" si="48"/>
        <v>5982.48</v>
      </c>
      <c r="I69" s="6">
        <f t="shared" si="49"/>
        <v>5.6838496552733177E-3</v>
      </c>
      <c r="J69" s="6">
        <f>+K69*F69/$K$91</f>
        <v>7.0301558295358321E-3</v>
      </c>
      <c r="K69" s="9">
        <v>130.27000000000001</v>
      </c>
      <c r="L69" s="7">
        <f t="shared" si="50"/>
        <v>0.37184077506318469</v>
      </c>
      <c r="M69" s="21">
        <f t="shared" si="51"/>
        <v>2224.5300000000011</v>
      </c>
    </row>
    <row r="70" spans="1:14" ht="14.25">
      <c r="B70" t="s">
        <v>115</v>
      </c>
      <c r="C70" s="1">
        <v>46118</v>
      </c>
      <c r="D70" s="1">
        <v>46128</v>
      </c>
      <c r="E70" s="28"/>
      <c r="F70" s="28">
        <f>5405*0.333333333333333</f>
        <v>1801.6666666666647</v>
      </c>
      <c r="G70" s="3">
        <v>9.25</v>
      </c>
      <c r="H70" s="27">
        <f t="shared" si="48"/>
        <v>16665.41666666665</v>
      </c>
      <c r="I70" s="6">
        <f t="shared" si="49"/>
        <v>1.5833521010654352E-2</v>
      </c>
      <c r="J70" s="6">
        <f t="shared" ref="J70" si="52">+K70*F70/$K$91</f>
        <v>1.4414557299012599E-2</v>
      </c>
      <c r="K70" s="9">
        <v>9.34</v>
      </c>
      <c r="L70" s="7">
        <f t="shared" si="50"/>
        <v>9.7297297297296303E-3</v>
      </c>
      <c r="M70" s="21">
        <f t="shared" si="51"/>
        <v>162.14999999999958</v>
      </c>
    </row>
    <row r="71" spans="1:14" ht="14.25">
      <c r="B71" t="s">
        <v>116</v>
      </c>
      <c r="C71" s="1">
        <v>46112</v>
      </c>
      <c r="D71" s="1">
        <v>46129</v>
      </c>
      <c r="E71" s="28"/>
      <c r="F71" s="28">
        <v>32</v>
      </c>
      <c r="G71" s="3">
        <v>155.61000000000001</v>
      </c>
      <c r="H71" s="27">
        <f t="shared" si="48"/>
        <v>4979.5200000000004</v>
      </c>
      <c r="I71" s="6">
        <f t="shared" si="49"/>
        <v>4.7309548941954832E-3</v>
      </c>
      <c r="J71" s="6">
        <f>+K71*F71/$K$91</f>
        <v>5.6300112448391879E-3</v>
      </c>
      <c r="K71" s="9">
        <v>205.39</v>
      </c>
      <c r="L71" s="7">
        <f t="shared" si="50"/>
        <v>0.31990231990231965</v>
      </c>
      <c r="M71" s="23">
        <f t="shared" si="51"/>
        <v>1592.9599999999991</v>
      </c>
    </row>
    <row r="72" spans="1:14" ht="14.25">
      <c r="B72" t="s">
        <v>117</v>
      </c>
      <c r="C72" s="1">
        <v>46121</v>
      </c>
      <c r="D72" s="1">
        <v>46129</v>
      </c>
      <c r="E72" s="28"/>
      <c r="F72" s="28">
        <v>792</v>
      </c>
      <c r="G72" s="3">
        <v>6.31</v>
      </c>
      <c r="H72" s="27">
        <f t="shared" si="48"/>
        <v>4997.5199999999995</v>
      </c>
      <c r="I72" s="6">
        <f t="shared" si="49"/>
        <v>4.7480563794983863E-3</v>
      </c>
      <c r="J72" s="6">
        <f t="shared" ref="J72" si="53">+K72*F72/$K$91</f>
        <v>4.9118346314948836E-3</v>
      </c>
      <c r="K72" s="9">
        <v>7.24</v>
      </c>
      <c r="L72" s="7">
        <f t="shared" si="50"/>
        <v>0.14738510301109353</v>
      </c>
      <c r="M72" s="23">
        <f t="shared" si="51"/>
        <v>736.56000000000051</v>
      </c>
    </row>
    <row r="73" spans="1:14" ht="14.25">
      <c r="C73" s="1"/>
      <c r="D73" s="1"/>
      <c r="E73" s="2"/>
      <c r="F73" s="2"/>
      <c r="G73" s="3"/>
      <c r="H73" s="2"/>
      <c r="I73" s="6"/>
      <c r="J73" s="6"/>
      <c r="K73" s="3"/>
      <c r="L73" s="7"/>
      <c r="M73" s="5"/>
    </row>
    <row r="74" spans="1:14" ht="15.75" customHeight="1">
      <c r="C74" s="1"/>
      <c r="D74" s="1"/>
      <c r="E74" s="2"/>
      <c r="F74" s="2"/>
      <c r="G74" s="3"/>
      <c r="H74" s="2"/>
      <c r="I74" s="6"/>
      <c r="J74" s="6"/>
      <c r="K74" s="3"/>
      <c r="L74" s="7"/>
    </row>
    <row r="75" spans="1:14" ht="14.25">
      <c r="A75">
        <v>1</v>
      </c>
      <c r="B75" t="s">
        <v>20</v>
      </c>
      <c r="C75" s="1">
        <v>46070</v>
      </c>
      <c r="D75" s="1"/>
      <c r="E75" s="28"/>
      <c r="F75" s="28">
        <f>4039-2020</f>
        <v>2019</v>
      </c>
      <c r="G75" s="3">
        <v>12.38</v>
      </c>
      <c r="H75" s="27">
        <v>25000</v>
      </c>
      <c r="I75" s="6">
        <v>0.05</v>
      </c>
      <c r="J75" s="6">
        <f>+K75*F75/$K$91</f>
        <v>2.6046014611250948E-2</v>
      </c>
      <c r="K75" s="9">
        <f>INDEX(Precios!AU:AU,MATCH($B$1,Precios!$A:$A,0))</f>
        <v>15.06</v>
      </c>
      <c r="L75" s="7">
        <f t="shared" ref="L75:L87" si="54">+K75/G75-1</f>
        <v>0.21647819063004836</v>
      </c>
      <c r="M75" s="5">
        <f t="shared" ref="M75:M87" si="55">+(K75-G75)*F75</f>
        <v>5410.9199999999992</v>
      </c>
      <c r="N75" t="s">
        <v>40</v>
      </c>
    </row>
    <row r="76" spans="1:14" ht="14.25">
      <c r="A76">
        <f>+A75+1</f>
        <v>2</v>
      </c>
      <c r="B76" t="s">
        <v>21</v>
      </c>
      <c r="C76" s="1">
        <v>46086</v>
      </c>
      <c r="D76" s="1"/>
      <c r="E76" s="28"/>
      <c r="F76" s="28">
        <f>14286-2143</f>
        <v>12143</v>
      </c>
      <c r="G76" s="3">
        <v>3.5</v>
      </c>
      <c r="H76" s="27">
        <f>+F76*G76</f>
        <v>42500.5</v>
      </c>
      <c r="I76" s="6">
        <v>0.05</v>
      </c>
      <c r="J76" s="6">
        <f>+K76*F76/$K$91</f>
        <v>5.1384594420621502E-2</v>
      </c>
      <c r="K76" s="9">
        <f>INDEX(Precios!BD:BD,MATCH($B$1,Precios!$A:$A,0))</f>
        <v>4.9400000000000004</v>
      </c>
      <c r="L76" s="7">
        <f t="shared" si="54"/>
        <v>0.41142857142857148</v>
      </c>
      <c r="M76" s="5">
        <f t="shared" si="55"/>
        <v>17485.920000000006</v>
      </c>
      <c r="N76" t="s">
        <v>41</v>
      </c>
    </row>
    <row r="77" spans="1:14" ht="14.25">
      <c r="A77">
        <f t="shared" ref="A77:A87" si="56">+A76+1</f>
        <v>3</v>
      </c>
      <c r="B77" t="s">
        <v>32</v>
      </c>
      <c r="C77" s="1">
        <v>46090</v>
      </c>
      <c r="D77" s="1"/>
      <c r="E77" s="28"/>
      <c r="F77" s="27">
        <f>ROUND(H77/G77,0)</f>
        <v>1633</v>
      </c>
      <c r="G77" s="3">
        <v>30.62</v>
      </c>
      <c r="H77" s="27">
        <v>50000</v>
      </c>
      <c r="I77" s="6">
        <v>0.05</v>
      </c>
      <c r="J77" s="6">
        <f>+K77*F77/$K$91</f>
        <v>4.8539539137424099E-2</v>
      </c>
      <c r="K77" s="9">
        <f>INDEX(Precios!BF:BF,MATCH($B$1,Precios!$A:$A,0))</f>
        <v>34.700000000000003</v>
      </c>
      <c r="L77" s="7">
        <f t="shared" si="54"/>
        <v>0.13324624428478127</v>
      </c>
      <c r="M77" s="5">
        <f t="shared" si="55"/>
        <v>6662.6400000000031</v>
      </c>
      <c r="N77" t="s">
        <v>40</v>
      </c>
    </row>
    <row r="78" spans="1:14" ht="14.25">
      <c r="A78">
        <f t="shared" si="56"/>
        <v>4</v>
      </c>
      <c r="B78" t="s">
        <v>31</v>
      </c>
      <c r="C78" s="1">
        <v>46112</v>
      </c>
      <c r="D78" s="1"/>
      <c r="E78" s="28"/>
      <c r="F78" s="28">
        <f>321-48-32</f>
        <v>241</v>
      </c>
      <c r="G78" s="3">
        <v>155.61000000000001</v>
      </c>
      <c r="H78" s="27">
        <f>+F78*G78</f>
        <v>37502.01</v>
      </c>
      <c r="I78" s="6">
        <v>0.05</v>
      </c>
      <c r="J78" s="6">
        <f>+K78*F78/$K$91</f>
        <v>4.3521999598860162E-2</v>
      </c>
      <c r="K78" s="9">
        <f>INDEX(Precios!BK:BK,MATCH($B$1,Precios!$A:$A,0))</f>
        <v>210.82</v>
      </c>
      <c r="L78" s="7">
        <f t="shared" si="54"/>
        <v>0.35479724953409142</v>
      </c>
      <c r="M78" s="5">
        <f t="shared" si="55"/>
        <v>13305.609999999995</v>
      </c>
      <c r="N78" t="s">
        <v>40</v>
      </c>
    </row>
    <row r="79" spans="1:14" ht="14.25">
      <c r="A79">
        <f t="shared" si="56"/>
        <v>5</v>
      </c>
      <c r="B79" t="s">
        <v>34</v>
      </c>
      <c r="C79" s="1">
        <v>46112</v>
      </c>
      <c r="D79" s="1"/>
      <c r="E79" s="28"/>
      <c r="F79" s="28">
        <f>527-175-63</f>
        <v>289</v>
      </c>
      <c r="G79" s="3">
        <v>94.96</v>
      </c>
      <c r="H79" s="27">
        <f>+F79*G79</f>
        <v>27443.439999999999</v>
      </c>
      <c r="I79" s="6">
        <f t="shared" ref="I79:I84" si="57">50000/$A$1</f>
        <v>4.7504125841401207E-2</v>
      </c>
      <c r="J79" s="6">
        <f>+K79*F79/$K$91</f>
        <v>3.458144600801652E-2</v>
      </c>
      <c r="K79" s="9">
        <f>INDEX(Precios!BJ:BJ,MATCH($B$1,Precios!$A:$A,0))</f>
        <v>139.69</v>
      </c>
      <c r="L79" s="7">
        <f t="shared" si="54"/>
        <v>0.47104043807919127</v>
      </c>
      <c r="M79" s="5">
        <f t="shared" si="55"/>
        <v>12926.970000000001</v>
      </c>
      <c r="N79" t="s">
        <v>39</v>
      </c>
    </row>
    <row r="80" spans="1:14" ht="14.25">
      <c r="A80">
        <f t="shared" si="56"/>
        <v>6</v>
      </c>
      <c r="B80" t="s">
        <v>30</v>
      </c>
      <c r="C80" s="1">
        <v>46113</v>
      </c>
      <c r="D80" s="1"/>
      <c r="E80" s="28"/>
      <c r="F80" s="28">
        <f>2588-388</f>
        <v>2200</v>
      </c>
      <c r="G80" s="3">
        <v>19.32</v>
      </c>
      <c r="H80" s="27">
        <f>+F80*G80</f>
        <v>42504</v>
      </c>
      <c r="I80" s="6">
        <f t="shared" si="57"/>
        <v>4.7504125841401207E-2</v>
      </c>
      <c r="J80" s="6">
        <f t="shared" ref="J80:J87" si="58">+K80*F80/$K$91</f>
        <v>5.1975291258682041E-2</v>
      </c>
      <c r="K80" s="9">
        <f>INDEX(Precios!BN:BN,MATCH($B$1,Precios!$A:$A,0))</f>
        <v>27.58</v>
      </c>
      <c r="L80" s="7">
        <f t="shared" si="54"/>
        <v>0.42753623188405787</v>
      </c>
      <c r="M80" s="5">
        <f t="shared" si="55"/>
        <v>18171.999999999996</v>
      </c>
      <c r="N80" t="s">
        <v>17</v>
      </c>
    </row>
    <row r="81" spans="1:14" ht="14.25">
      <c r="A81">
        <f t="shared" si="56"/>
        <v>7</v>
      </c>
      <c r="B81" t="s">
        <v>33</v>
      </c>
      <c r="C81" s="1">
        <v>46113</v>
      </c>
      <c r="D81" s="1"/>
      <c r="E81" s="28"/>
      <c r="F81" s="27">
        <f t="shared" ref="F81:F87" si="59">ROUND(H81/G81,0)</f>
        <v>3693</v>
      </c>
      <c r="G81" s="3">
        <v>13.54</v>
      </c>
      <c r="H81" s="27">
        <v>50000</v>
      </c>
      <c r="I81" s="6">
        <f t="shared" si="57"/>
        <v>4.7504125841401207E-2</v>
      </c>
      <c r="J81" s="6">
        <f t="shared" si="58"/>
        <v>4.7293394781194813E-2</v>
      </c>
      <c r="K81" s="9">
        <f>INDEX(Precios!BM:BM,MATCH($B$1,Precios!$A:$A,0))</f>
        <v>14.95</v>
      </c>
      <c r="L81" s="7">
        <f t="shared" si="54"/>
        <v>0.10413589364844911</v>
      </c>
      <c r="M81" s="5">
        <f t="shared" si="55"/>
        <v>5207.13</v>
      </c>
      <c r="N81" t="s">
        <v>40</v>
      </c>
    </row>
    <row r="82" spans="1:14" ht="14.25">
      <c r="A82">
        <f t="shared" si="56"/>
        <v>8</v>
      </c>
      <c r="B82" t="s">
        <v>11</v>
      </c>
      <c r="C82" s="1">
        <v>46118</v>
      </c>
      <c r="D82" s="1"/>
      <c r="E82" s="28"/>
      <c r="F82" s="28">
        <f>3243-486</f>
        <v>2757</v>
      </c>
      <c r="G82" s="3">
        <v>15.42</v>
      </c>
      <c r="H82" s="27">
        <f>+F82*G82</f>
        <v>42512.94</v>
      </c>
      <c r="I82" s="6">
        <f t="shared" si="57"/>
        <v>4.7504125841401207E-2</v>
      </c>
      <c r="J82" s="6">
        <f t="shared" si="58"/>
        <v>4.8744592951477483E-2</v>
      </c>
      <c r="K82" s="9">
        <f>INDEX(Precios!BP:BP,MATCH($B$1,Precios!$A:$A,0))</f>
        <v>20.64</v>
      </c>
      <c r="L82" s="7">
        <f t="shared" si="54"/>
        <v>0.33852140077821025</v>
      </c>
      <c r="M82" s="5">
        <f t="shared" si="55"/>
        <v>14391.54</v>
      </c>
      <c r="N82" t="s">
        <v>42</v>
      </c>
    </row>
    <row r="83" spans="1:14" ht="14.25">
      <c r="A83">
        <f t="shared" si="56"/>
        <v>9</v>
      </c>
      <c r="B83" t="s">
        <v>37</v>
      </c>
      <c r="C83" s="1">
        <v>46118</v>
      </c>
      <c r="D83" s="1"/>
      <c r="E83" s="28"/>
      <c r="F83" s="28">
        <f>5405-1802</f>
        <v>3603</v>
      </c>
      <c r="G83" s="3">
        <v>9.25</v>
      </c>
      <c r="H83" s="27">
        <v>50000</v>
      </c>
      <c r="I83" s="6">
        <f t="shared" si="57"/>
        <v>4.7504125841401207E-2</v>
      </c>
      <c r="J83" s="6">
        <f t="shared" si="58"/>
        <v>2.9320262654884938E-2</v>
      </c>
      <c r="K83" s="9">
        <f>INDEX(Precios!BQ:BQ,MATCH($B$1,Precios!$A:$A,0))</f>
        <v>9.5</v>
      </c>
      <c r="L83" s="7">
        <f t="shared" si="54"/>
        <v>2.7027027027026973E-2</v>
      </c>
      <c r="M83" s="5">
        <f t="shared" si="55"/>
        <v>900.75</v>
      </c>
      <c r="N83" t="s">
        <v>40</v>
      </c>
    </row>
    <row r="84" spans="1:14" ht="14.25">
      <c r="A84">
        <f t="shared" si="56"/>
        <v>10</v>
      </c>
      <c r="B84" t="s">
        <v>10</v>
      </c>
      <c r="C84" s="1">
        <v>46121</v>
      </c>
      <c r="D84" s="1"/>
      <c r="E84" s="28"/>
      <c r="F84" s="28">
        <f>7924-1190-792</f>
        <v>5942</v>
      </c>
      <c r="G84" s="3">
        <v>6.31</v>
      </c>
      <c r="H84" s="27">
        <f>+F84*G84</f>
        <v>37494.019999999997</v>
      </c>
      <c r="I84" s="6">
        <f t="shared" si="57"/>
        <v>4.7504125841401207E-2</v>
      </c>
      <c r="J84" s="6">
        <f t="shared" si="58"/>
        <v>3.6952962152827874E-2</v>
      </c>
      <c r="K84" s="9">
        <f>INDEX(Precios!BR:BR,MATCH($B$1,Precios!$A:$A,0))</f>
        <v>7.26</v>
      </c>
      <c r="L84" s="7">
        <f t="shared" si="54"/>
        <v>0.15055467511885889</v>
      </c>
      <c r="M84" s="5">
        <f t="shared" si="55"/>
        <v>5644.9000000000015</v>
      </c>
      <c r="N84" t="s">
        <v>39</v>
      </c>
    </row>
    <row r="85" spans="1:14" ht="14.25">
      <c r="A85">
        <f t="shared" si="56"/>
        <v>11</v>
      </c>
      <c r="B85" t="s">
        <v>38</v>
      </c>
      <c r="C85" s="1">
        <v>46122</v>
      </c>
      <c r="D85" s="1"/>
      <c r="E85" s="28"/>
      <c r="F85" s="27">
        <f t="shared" si="59"/>
        <v>328</v>
      </c>
      <c r="G85" s="3">
        <v>152.22999999999999</v>
      </c>
      <c r="H85" s="27">
        <v>50000</v>
      </c>
      <c r="I85" s="6">
        <f t="shared" ref="I85:I87" si="60">+H85/$A$1</f>
        <v>4.7504125841401207E-2</v>
      </c>
      <c r="J85" s="6">
        <f t="shared" si="58"/>
        <v>4.6845468095980267E-2</v>
      </c>
      <c r="K85" s="9">
        <f>INDEX(Precios!BS:BS,MATCH($B$1,Precios!$A:$A,0))</f>
        <v>166.73</v>
      </c>
      <c r="L85" s="7">
        <f t="shared" si="54"/>
        <v>9.5250607633186712E-2</v>
      </c>
      <c r="M85" s="5">
        <f t="shared" si="55"/>
        <v>4756</v>
      </c>
      <c r="N85" t="s">
        <v>39</v>
      </c>
    </row>
    <row r="86" spans="1:14" ht="14.25">
      <c r="A86">
        <f t="shared" si="56"/>
        <v>12</v>
      </c>
      <c r="B86" t="s">
        <v>43</v>
      </c>
      <c r="C86" s="1">
        <v>46125</v>
      </c>
      <c r="D86" s="1"/>
      <c r="E86" s="28"/>
      <c r="F86" s="27">
        <f t="shared" si="59"/>
        <v>586</v>
      </c>
      <c r="G86" s="3">
        <v>85.31</v>
      </c>
      <c r="H86" s="27">
        <v>50000</v>
      </c>
      <c r="I86" s="6">
        <f t="shared" si="60"/>
        <v>4.7504125841401207E-2</v>
      </c>
      <c r="J86" s="6">
        <f t="shared" si="58"/>
        <v>4.7576699351007987E-2</v>
      </c>
      <c r="K86" s="9">
        <f>INDEX(Precios!BT:BT,MATCH($B$1,Precios!$A:$A,0))</f>
        <v>94.78</v>
      </c>
      <c r="L86" s="7">
        <f t="shared" si="54"/>
        <v>0.11100691595358114</v>
      </c>
      <c r="M86" s="5">
        <f t="shared" si="55"/>
        <v>5549.4199999999992</v>
      </c>
      <c r="N86" t="s">
        <v>44</v>
      </c>
    </row>
    <row r="87" spans="1:14" ht="14.25">
      <c r="A87">
        <f t="shared" si="56"/>
        <v>13</v>
      </c>
      <c r="B87" t="s">
        <v>45</v>
      </c>
      <c r="C87" s="1">
        <v>46127</v>
      </c>
      <c r="D87" s="1"/>
      <c r="E87" s="28"/>
      <c r="F87" s="27">
        <f t="shared" si="59"/>
        <v>1027</v>
      </c>
      <c r="G87" s="3">
        <v>48.7</v>
      </c>
      <c r="H87" s="27">
        <v>50000</v>
      </c>
      <c r="I87" s="6">
        <f t="shared" si="60"/>
        <v>4.7504125841401207E-2</v>
      </c>
      <c r="J87" s="6">
        <f t="shared" si="58"/>
        <v>4.6652192583970638E-2</v>
      </c>
      <c r="K87" s="9">
        <f>INDEX(Precios!BU:BU,MATCH($B$1,Precios!$A:$A,0))</f>
        <v>53.03</v>
      </c>
      <c r="L87" s="7">
        <f t="shared" si="54"/>
        <v>8.8911704312115036E-2</v>
      </c>
      <c r="M87" s="5">
        <f t="shared" si="55"/>
        <v>4446.909999999998</v>
      </c>
      <c r="N87" t="s">
        <v>46</v>
      </c>
    </row>
    <row r="88" spans="1:14" thickBot="1">
      <c r="C88" s="1"/>
      <c r="D88" s="1"/>
      <c r="E88" s="2"/>
      <c r="F88" s="2"/>
      <c r="G88" s="3"/>
      <c r="H88" s="2"/>
      <c r="I88" s="6"/>
      <c r="K88" s="3"/>
      <c r="L88" s="7"/>
    </row>
    <row r="89" spans="1:14" ht="14.25">
      <c r="B89" s="53" t="s">
        <v>12</v>
      </c>
      <c r="C89" s="54"/>
      <c r="D89" s="54"/>
      <c r="E89" s="55"/>
      <c r="F89" s="55"/>
      <c r="G89" s="56"/>
      <c r="H89" s="55"/>
      <c r="I89" s="55"/>
      <c r="J89" s="57">
        <f>+K89/K91</f>
        <v>0.44056554239380091</v>
      </c>
      <c r="K89" s="58">
        <f>+A1-H90</f>
        <v>514316.59550000005</v>
      </c>
      <c r="L89" s="59"/>
      <c r="N89" t="s">
        <v>12</v>
      </c>
    </row>
    <row r="90" spans="1:14" ht="14.25">
      <c r="B90" s="60" t="s">
        <v>13</v>
      </c>
      <c r="C90" s="1"/>
      <c r="D90" s="1"/>
      <c r="G90" s="4"/>
      <c r="H90" s="5">
        <f>+SUMPRODUCT(F75:F88,G75:G88)</f>
        <v>538223.56000000006</v>
      </c>
      <c r="J90" s="8">
        <f>+K90/K91</f>
        <v>0.55943445760619914</v>
      </c>
      <c r="K90" s="5">
        <f>+SUMPRODUCT(F75:F88,K75:K88)</f>
        <v>653084.26999999979</v>
      </c>
      <c r="L90" s="61">
        <f>+K90/H90-1</f>
        <v>0.21340706452909597</v>
      </c>
      <c r="M90" s="5">
        <f>+SUM(M75:M89)</f>
        <v>114860.71</v>
      </c>
    </row>
    <row r="91" spans="1:14" thickBot="1">
      <c r="B91" s="62" t="s">
        <v>14</v>
      </c>
      <c r="C91" s="63"/>
      <c r="D91" s="63"/>
      <c r="E91" s="63"/>
      <c r="F91" s="63"/>
      <c r="G91" s="64"/>
      <c r="H91" s="63"/>
      <c r="I91" s="63"/>
      <c r="J91" s="65">
        <f>+J89+J90</f>
        <v>1</v>
      </c>
      <c r="K91" s="66">
        <f>+K90+K89</f>
        <v>1167400.8654999998</v>
      </c>
      <c r="L91" s="67">
        <f>+K91/1000000-1</f>
        <v>0.16740086549999988</v>
      </c>
      <c r="M91" s="5">
        <f>+SUM(M3:M88)</f>
        <v>167400.86550000001</v>
      </c>
    </row>
    <row r="92" spans="1:14" ht="14.25">
      <c r="C92" s="1"/>
    </row>
    <row r="93" spans="1:14" ht="15" customHeight="1">
      <c r="A93" t="s">
        <v>29</v>
      </c>
      <c r="B93" t="s">
        <v>22</v>
      </c>
      <c r="C93" s="1">
        <v>45979</v>
      </c>
      <c r="D93" s="1">
        <v>46129</v>
      </c>
      <c r="G93">
        <v>607</v>
      </c>
      <c r="K93">
        <v>652.78</v>
      </c>
      <c r="L93" s="7">
        <f t="shared" ref="L93" si="61">+K93/G93-1</f>
        <v>7.5420098846787464E-2</v>
      </c>
    </row>
    <row r="94" spans="1:14" ht="15" customHeight="1">
      <c r="C94" s="1"/>
    </row>
    <row r="95" spans="1:14" ht="15" customHeight="1">
      <c r="C95" s="1"/>
    </row>
    <row r="96" spans="1:14" ht="15" customHeight="1">
      <c r="C96" s="1"/>
    </row>
    <row r="97" spans="3:3" ht="15" customHeight="1">
      <c r="C97" s="1"/>
    </row>
    <row r="98" spans="3:3" ht="15" customHeight="1">
      <c r="C98" s="1"/>
    </row>
    <row r="99" spans="3:3" ht="15" customHeight="1">
      <c r="C99" s="1"/>
    </row>
    <row r="100" spans="3:3" ht="15" customHeight="1">
      <c r="C100" s="1"/>
    </row>
    <row r="101" spans="3:3" ht="15" customHeight="1">
      <c r="C101" s="1"/>
    </row>
    <row r="102" spans="3:3" ht="15" customHeight="1">
      <c r="C102" s="1"/>
    </row>
    <row r="103" spans="3:3" ht="15" customHeight="1">
      <c r="C103" s="1"/>
    </row>
    <row r="104" spans="3:3" ht="15" customHeight="1">
      <c r="C104" s="1"/>
    </row>
  </sheetData>
  <phoneticPr fontId="2" type="noConversion"/>
  <conditionalFormatting sqref="L3:L88 L93">
    <cfRule type="cellIs" dxfId="1" priority="7" operator="lessThan">
      <formula>0</formula>
    </cfRule>
    <cfRule type="cellIs" dxfId="0" priority="8" operator="greaterThan">
      <formula>0</formula>
    </cfRule>
  </conditionalFormatting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64C14-7D83-417A-BEA4-C5EFF32DBA4A}">
  <dimension ref="A2:G111"/>
  <sheetViews>
    <sheetView workbookViewId="0">
      <pane xSplit="1" ySplit="2" topLeftCell="B12" activePane="bottomRight" state="frozen"/>
      <selection pane="topRight" activeCell="B1" sqref="B1"/>
      <selection pane="bottomLeft" activeCell="A3" sqref="A3"/>
      <selection pane="bottomRight" activeCell="B10" sqref="B10"/>
    </sheetView>
  </sheetViews>
  <sheetFormatPr baseColWidth="10" defaultRowHeight="14.25"/>
  <cols>
    <col min="5" max="5" width="11.5" bestFit="1" customWidth="1"/>
    <col min="8" max="8" width="11" customWidth="1"/>
  </cols>
  <sheetData>
    <row r="2" spans="1:7" ht="15" thickBot="1">
      <c r="A2" t="s">
        <v>19</v>
      </c>
      <c r="B2" t="s">
        <v>13</v>
      </c>
      <c r="C2" t="s">
        <v>12</v>
      </c>
      <c r="D2" t="s">
        <v>27</v>
      </c>
      <c r="E2" t="s">
        <v>23</v>
      </c>
      <c r="G2" t="s">
        <v>22</v>
      </c>
    </row>
    <row r="3" spans="1:7" ht="15" thickBot="1">
      <c r="A3" s="11">
        <f>+Precios!A5</f>
        <v>45979</v>
      </c>
      <c r="B3" s="2">
        <f>+SUM(Value!F7:XFD7)</f>
        <v>0</v>
      </c>
      <c r="C3" s="2">
        <f>+Value!D7</f>
        <v>1000000</v>
      </c>
      <c r="D3" s="2">
        <f>+B3+C3</f>
        <v>1000000</v>
      </c>
      <c r="E3" s="2"/>
      <c r="F3" s="10"/>
      <c r="G3" s="16">
        <v>607</v>
      </c>
    </row>
    <row r="4" spans="1:7" ht="15" thickBot="1">
      <c r="A4" s="11">
        <f>+Precios!A6</f>
        <v>45980</v>
      </c>
      <c r="B4" s="2">
        <f>+SUM(Value!F8:XFD8)</f>
        <v>0</v>
      </c>
      <c r="C4" s="2">
        <f>+Value!D8</f>
        <v>1000000</v>
      </c>
      <c r="D4" s="2">
        <f t="shared" ref="D4:D6" si="0">+B4+C4</f>
        <v>1000000</v>
      </c>
      <c r="E4" s="6">
        <f>+D4/$D$3-1</f>
        <v>0</v>
      </c>
      <c r="F4" s="10"/>
      <c r="G4" s="16">
        <v>609.20000000000005</v>
      </c>
    </row>
    <row r="5" spans="1:7" ht="15" thickBot="1">
      <c r="A5" s="11">
        <f>+Precios!A7</f>
        <v>45981</v>
      </c>
      <c r="B5" s="2">
        <f>+SUM(Value!F9:XFD9)</f>
        <v>0</v>
      </c>
      <c r="C5" s="2">
        <f>+Value!D9</f>
        <v>1000000</v>
      </c>
      <c r="D5" s="2">
        <f t="shared" si="0"/>
        <v>1000000</v>
      </c>
      <c r="E5" s="6">
        <f t="shared" ref="E5:E6" si="1">+D5/$D$3-1</f>
        <v>0</v>
      </c>
      <c r="F5" s="10"/>
      <c r="G5" s="16">
        <v>599.96</v>
      </c>
    </row>
    <row r="6" spans="1:7" ht="15" thickBot="1">
      <c r="A6" s="11">
        <f>+Precios!A8</f>
        <v>45982</v>
      </c>
      <c r="B6" s="2">
        <f>+SUM(Value!F10:XFD10)</f>
        <v>0</v>
      </c>
      <c r="C6" s="2">
        <f>+Value!D10</f>
        <v>1000000</v>
      </c>
      <c r="D6" s="2">
        <f t="shared" si="0"/>
        <v>1000000</v>
      </c>
      <c r="E6" s="6">
        <f t="shared" si="1"/>
        <v>0</v>
      </c>
      <c r="F6" s="10"/>
      <c r="G6" s="16">
        <v>605.92999999999995</v>
      </c>
    </row>
    <row r="7" spans="1:7" ht="15" thickBot="1">
      <c r="A7" s="11">
        <f>+Precios!A9</f>
        <v>45985</v>
      </c>
      <c r="B7" s="2">
        <f>+SUM(Value!F11:XFD11)</f>
        <v>0</v>
      </c>
      <c r="C7" s="2">
        <f>+Value!D11</f>
        <v>1000000</v>
      </c>
      <c r="D7" s="2">
        <f t="shared" ref="D7:D70" si="2">+B7+C7</f>
        <v>1000000</v>
      </c>
      <c r="E7" s="6">
        <f t="shared" ref="E7:E70" si="3">+D7/$D$3-1</f>
        <v>0</v>
      </c>
      <c r="F7" s="10"/>
      <c r="G7" s="16">
        <v>614.94000000000005</v>
      </c>
    </row>
    <row r="8" spans="1:7" ht="15" thickBot="1">
      <c r="A8" s="11">
        <f>+Precios!A10</f>
        <v>45986</v>
      </c>
      <c r="B8" s="2">
        <f>+SUM(Value!F12:XFD12)</f>
        <v>0</v>
      </c>
      <c r="C8" s="2">
        <f>+Value!D12</f>
        <v>1000000</v>
      </c>
      <c r="D8" s="2">
        <f t="shared" si="2"/>
        <v>1000000</v>
      </c>
      <c r="E8" s="6">
        <f t="shared" si="3"/>
        <v>0</v>
      </c>
      <c r="F8" s="10"/>
      <c r="G8" s="16">
        <v>620.66</v>
      </c>
    </row>
    <row r="9" spans="1:7" ht="15" thickBot="1">
      <c r="A9" s="11">
        <f>+Precios!A11</f>
        <v>45987</v>
      </c>
      <c r="B9" s="2">
        <f>+SUM(Value!F13:XFD13)</f>
        <v>0</v>
      </c>
      <c r="C9" s="2">
        <f>+Value!D13</f>
        <v>1000000</v>
      </c>
      <c r="D9" s="2">
        <f t="shared" si="2"/>
        <v>1000000</v>
      </c>
      <c r="E9" s="6">
        <f t="shared" si="3"/>
        <v>0</v>
      </c>
      <c r="F9" s="10"/>
      <c r="G9" s="16">
        <v>624.95000000000005</v>
      </c>
    </row>
    <row r="10" spans="1:7" ht="15" thickBot="1">
      <c r="A10" s="11">
        <f>+Precios!A12</f>
        <v>45988</v>
      </c>
      <c r="B10" s="2">
        <f>+SUM(Value!F14:XFD14)</f>
        <v>0</v>
      </c>
      <c r="C10" s="2">
        <f>+Value!D14</f>
        <v>1000000</v>
      </c>
      <c r="D10" s="2">
        <f t="shared" si="2"/>
        <v>1000000</v>
      </c>
      <c r="E10" s="6">
        <f t="shared" si="3"/>
        <v>0</v>
      </c>
      <c r="F10" s="10"/>
      <c r="G10" s="16">
        <v>628.41</v>
      </c>
    </row>
    <row r="11" spans="1:7" ht="15" thickBot="1">
      <c r="A11" s="11">
        <f>+Precios!A13</f>
        <v>45989</v>
      </c>
      <c r="B11" s="2">
        <f>+SUM(Value!F15:XFD15)</f>
        <v>0</v>
      </c>
      <c r="C11" s="2">
        <f>+Value!D15</f>
        <v>1000000</v>
      </c>
      <c r="D11" s="2">
        <f t="shared" si="2"/>
        <v>1000000</v>
      </c>
      <c r="E11" s="6">
        <f t="shared" si="3"/>
        <v>0</v>
      </c>
      <c r="F11" s="10"/>
      <c r="G11" s="16">
        <v>628.41</v>
      </c>
    </row>
    <row r="12" spans="1:7" ht="15" thickBot="1">
      <c r="A12" s="11">
        <f>+Precios!A14</f>
        <v>45992</v>
      </c>
      <c r="B12" s="2">
        <f>+SUM(Value!F16:XFD16)</f>
        <v>0</v>
      </c>
      <c r="C12" s="2">
        <f>+Value!D16</f>
        <v>1000000</v>
      </c>
      <c r="D12" s="2">
        <f t="shared" si="2"/>
        <v>1000000</v>
      </c>
      <c r="E12" s="6">
        <f t="shared" si="3"/>
        <v>0</v>
      </c>
      <c r="F12" s="10"/>
      <c r="G12" s="16">
        <v>625.52</v>
      </c>
    </row>
    <row r="13" spans="1:7" ht="15" thickBot="1">
      <c r="A13" s="11">
        <f>+Precios!A15</f>
        <v>45993</v>
      </c>
      <c r="B13" s="2">
        <f>+SUM(Value!F17:XFD17)</f>
        <v>0</v>
      </c>
      <c r="C13" s="2">
        <f>+Value!D17</f>
        <v>1000000</v>
      </c>
      <c r="D13" s="2">
        <f t="shared" si="2"/>
        <v>1000000</v>
      </c>
      <c r="E13" s="6">
        <f t="shared" si="3"/>
        <v>0</v>
      </c>
      <c r="F13" s="10"/>
      <c r="G13" s="16">
        <v>626.58000000000004</v>
      </c>
    </row>
    <row r="14" spans="1:7" ht="15" thickBot="1">
      <c r="A14" s="11">
        <f>+Precios!A16</f>
        <v>45994</v>
      </c>
      <c r="B14" s="2">
        <f>+SUM(Value!F18:XFD18)</f>
        <v>0</v>
      </c>
      <c r="C14" s="2">
        <f>+Value!D18</f>
        <v>1000000</v>
      </c>
      <c r="D14" s="2">
        <f t="shared" si="2"/>
        <v>1000000</v>
      </c>
      <c r="E14" s="6">
        <f t="shared" si="3"/>
        <v>0</v>
      </c>
      <c r="F14" s="10"/>
      <c r="G14" s="16">
        <v>628.77</v>
      </c>
    </row>
    <row r="15" spans="1:7" ht="15" thickBot="1">
      <c r="A15" s="11">
        <f>+Precios!A17</f>
        <v>45995</v>
      </c>
      <c r="B15" s="2">
        <f>+SUM(Value!F19:XFD19)</f>
        <v>0</v>
      </c>
      <c r="C15" s="2">
        <f>+Value!D19</f>
        <v>1010271</v>
      </c>
      <c r="D15" s="2">
        <f t="shared" si="2"/>
        <v>1010271</v>
      </c>
      <c r="E15" s="6">
        <f t="shared" si="3"/>
        <v>1.0270999999999919E-2</v>
      </c>
      <c r="F15" s="10"/>
      <c r="G15" s="16">
        <v>629.29999999999995</v>
      </c>
    </row>
    <row r="16" spans="1:7" ht="15" thickBot="1">
      <c r="A16" s="11">
        <f>+Precios!A18</f>
        <v>45996</v>
      </c>
      <c r="B16" s="2">
        <f>+SUM(Value!F20:XFD20)</f>
        <v>0</v>
      </c>
      <c r="C16" s="2">
        <f>+Value!D20</f>
        <v>1010271</v>
      </c>
      <c r="D16" s="2">
        <f t="shared" si="2"/>
        <v>1010271</v>
      </c>
      <c r="E16" s="6">
        <f t="shared" si="3"/>
        <v>1.0270999999999919E-2</v>
      </c>
      <c r="F16" s="10"/>
      <c r="G16" s="16">
        <v>630.48</v>
      </c>
    </row>
    <row r="17" spans="1:7" ht="15" thickBot="1">
      <c r="A17" s="11">
        <f>+Precios!A19</f>
        <v>45999</v>
      </c>
      <c r="B17" s="2">
        <f>+SUM(Value!F21:XFD21)</f>
        <v>0</v>
      </c>
      <c r="C17" s="2">
        <f>+Value!D21</f>
        <v>1010271</v>
      </c>
      <c r="D17" s="2">
        <f t="shared" si="2"/>
        <v>1010271</v>
      </c>
      <c r="E17" s="6">
        <f t="shared" si="3"/>
        <v>1.0270999999999919E-2</v>
      </c>
      <c r="F17" s="10"/>
      <c r="G17" s="16">
        <v>628.61</v>
      </c>
    </row>
    <row r="18" spans="1:7" ht="15" thickBot="1">
      <c r="A18" s="11">
        <f>+Precios!A20</f>
        <v>46000</v>
      </c>
      <c r="B18" s="2">
        <f>+SUM(Value!F22:XFD22)</f>
        <v>0</v>
      </c>
      <c r="C18" s="2">
        <f>+Value!D22</f>
        <v>1010271</v>
      </c>
      <c r="D18" s="2">
        <f t="shared" si="2"/>
        <v>1010271</v>
      </c>
      <c r="E18" s="6">
        <f t="shared" si="3"/>
        <v>1.0270999999999919E-2</v>
      </c>
      <c r="F18" s="10"/>
      <c r="G18" s="16">
        <v>628.1</v>
      </c>
    </row>
    <row r="19" spans="1:7" ht="15" thickBot="1">
      <c r="A19" s="11">
        <f>+Precios!A21</f>
        <v>46001</v>
      </c>
      <c r="B19" s="2">
        <f>+SUM(Value!F23:XFD23)</f>
        <v>0</v>
      </c>
      <c r="C19" s="2">
        <f>+Value!D23</f>
        <v>1010271</v>
      </c>
      <c r="D19" s="2">
        <f t="shared" si="2"/>
        <v>1010271</v>
      </c>
      <c r="E19" s="6">
        <f t="shared" si="3"/>
        <v>1.0270999999999919E-2</v>
      </c>
      <c r="F19" s="10"/>
      <c r="G19" s="16">
        <v>632.16</v>
      </c>
    </row>
    <row r="20" spans="1:7" ht="15" thickBot="1">
      <c r="A20" s="11">
        <f>+Precios!A22</f>
        <v>46002</v>
      </c>
      <c r="B20" s="2">
        <f>+SUM(Value!F24:XFD24)</f>
        <v>0</v>
      </c>
      <c r="C20" s="2">
        <f>+Value!D24</f>
        <v>1010271</v>
      </c>
      <c r="D20" s="2">
        <f t="shared" si="2"/>
        <v>1010271</v>
      </c>
      <c r="E20" s="6">
        <f t="shared" si="3"/>
        <v>1.0270999999999919E-2</v>
      </c>
      <c r="F20" s="10"/>
      <c r="G20" s="16">
        <v>633.71</v>
      </c>
    </row>
    <row r="21" spans="1:7" ht="15" thickBot="1">
      <c r="A21" s="11">
        <f>+Precios!A23</f>
        <v>46003</v>
      </c>
      <c r="B21" s="2">
        <f>+SUM(Value!F25:XFD25)</f>
        <v>0</v>
      </c>
      <c r="C21" s="2">
        <f>+Value!D25</f>
        <v>1003174.6</v>
      </c>
      <c r="D21" s="2">
        <f t="shared" si="2"/>
        <v>1003174.6</v>
      </c>
      <c r="E21" s="6">
        <f t="shared" si="3"/>
        <v>3.1745999999999164E-3</v>
      </c>
      <c r="F21" s="10"/>
      <c r="G21" s="16">
        <v>626.87</v>
      </c>
    </row>
    <row r="22" spans="1:7" ht="15" thickBot="1">
      <c r="A22" s="11">
        <f>+Precios!A24</f>
        <v>46006</v>
      </c>
      <c r="B22" s="2">
        <f>+SUM(Value!F26:XFD26)</f>
        <v>0</v>
      </c>
      <c r="C22" s="2">
        <f>+Value!D26</f>
        <v>1017693.6</v>
      </c>
      <c r="D22" s="2">
        <f t="shared" si="2"/>
        <v>1017693.6</v>
      </c>
      <c r="E22" s="6">
        <f t="shared" si="3"/>
        <v>1.7693600000000087E-2</v>
      </c>
      <c r="F22" s="10"/>
      <c r="G22" s="16">
        <v>625.96</v>
      </c>
    </row>
    <row r="23" spans="1:7" ht="15" customHeight="1" thickBot="1">
      <c r="A23" s="11">
        <f>+Precios!A25</f>
        <v>46007</v>
      </c>
      <c r="B23" s="2">
        <f>+SUM(Value!F27:XFD27)</f>
        <v>0</v>
      </c>
      <c r="C23" s="2">
        <f>+Value!D27</f>
        <v>1013307.19</v>
      </c>
      <c r="D23" s="2">
        <f t="shared" si="2"/>
        <v>1013307.19</v>
      </c>
      <c r="E23" s="6">
        <f t="shared" si="3"/>
        <v>1.3307189999999913E-2</v>
      </c>
      <c r="F23" s="10"/>
      <c r="G23" s="16">
        <v>624.21</v>
      </c>
    </row>
    <row r="24" spans="1:7" ht="15" customHeight="1" thickBot="1">
      <c r="A24" s="11">
        <f>+Precios!A26</f>
        <v>46008</v>
      </c>
      <c r="B24" s="2">
        <f>+SUM(Value!F28:XFD28)</f>
        <v>0</v>
      </c>
      <c r="C24" s="2">
        <f>+Value!D28</f>
        <v>1005582.19</v>
      </c>
      <c r="D24" s="2">
        <f t="shared" si="2"/>
        <v>1005582.19</v>
      </c>
      <c r="E24" s="6">
        <f t="shared" si="3"/>
        <v>5.5821899999999314E-3</v>
      </c>
      <c r="F24" s="10"/>
      <c r="G24" s="16">
        <v>617.35</v>
      </c>
    </row>
    <row r="25" spans="1:7" ht="15" customHeight="1" thickBot="1">
      <c r="A25" s="11">
        <f>+Precios!A27</f>
        <v>46009</v>
      </c>
      <c r="B25" s="2">
        <f>+SUM(Value!F29:XFD29)</f>
        <v>0</v>
      </c>
      <c r="C25" s="2">
        <f>+Value!D29</f>
        <v>1005582.19</v>
      </c>
      <c r="D25" s="2">
        <f t="shared" si="2"/>
        <v>1005582.19</v>
      </c>
      <c r="E25" s="6">
        <f t="shared" si="3"/>
        <v>5.5821899999999314E-3</v>
      </c>
      <c r="F25" s="10"/>
      <c r="G25" s="16">
        <v>622.01</v>
      </c>
    </row>
    <row r="26" spans="1:7" ht="15" thickBot="1">
      <c r="A26" s="11">
        <f>+Precios!A28</f>
        <v>46010</v>
      </c>
      <c r="B26" s="2">
        <f>+SUM(Value!F30:XFD30)</f>
        <v>0</v>
      </c>
      <c r="C26" s="2">
        <f>+Value!D30</f>
        <v>1005582.19</v>
      </c>
      <c r="D26" s="2">
        <f t="shared" si="2"/>
        <v>1005582.19</v>
      </c>
      <c r="E26" s="6">
        <f t="shared" si="3"/>
        <v>5.5821899999999314E-3</v>
      </c>
      <c r="F26" s="10"/>
      <c r="G26" s="16">
        <v>627.55999999999995</v>
      </c>
    </row>
    <row r="27" spans="1:7" ht="15" thickBot="1">
      <c r="A27" s="11">
        <f>+Precios!A29</f>
        <v>46013</v>
      </c>
      <c r="B27" s="2">
        <f>+SUM(Value!F31:XFD31)</f>
        <v>0</v>
      </c>
      <c r="C27" s="2">
        <f>+Value!D31</f>
        <v>1005582.19</v>
      </c>
      <c r="D27" s="2">
        <f t="shared" si="2"/>
        <v>1005582.19</v>
      </c>
      <c r="E27" s="6">
        <f t="shared" si="3"/>
        <v>5.5821899999999314E-3</v>
      </c>
      <c r="F27" s="10"/>
      <c r="G27" s="16">
        <v>629.73</v>
      </c>
    </row>
    <row r="28" spans="1:7" ht="15" thickBot="1">
      <c r="A28" s="11">
        <f>+Precios!A30</f>
        <v>46014</v>
      </c>
      <c r="B28" s="2">
        <f>+SUM(Value!F32:XFD32)</f>
        <v>0</v>
      </c>
      <c r="C28" s="2">
        <f>+Value!D32</f>
        <v>1005582.19</v>
      </c>
      <c r="D28" s="2">
        <f t="shared" si="2"/>
        <v>1005582.19</v>
      </c>
      <c r="E28" s="6">
        <f t="shared" si="3"/>
        <v>5.5821899999999314E-3</v>
      </c>
      <c r="F28" s="10"/>
      <c r="G28" s="16">
        <v>632.66999999999996</v>
      </c>
    </row>
    <row r="29" spans="1:7" ht="15" thickBot="1">
      <c r="A29" s="11">
        <f>+Precios!A31</f>
        <v>46015</v>
      </c>
      <c r="B29" s="2">
        <f>+SUM(Value!F33:XFD33)</f>
        <v>0</v>
      </c>
      <c r="C29" s="2">
        <f>+Value!D33</f>
        <v>1005582.19</v>
      </c>
      <c r="D29" s="2">
        <f t="shared" si="2"/>
        <v>1005582.19</v>
      </c>
      <c r="E29" s="6">
        <f t="shared" si="3"/>
        <v>5.5821899999999314E-3</v>
      </c>
      <c r="F29" s="10"/>
      <c r="G29" s="16">
        <v>634.78</v>
      </c>
    </row>
    <row r="30" spans="1:7" ht="15" thickBot="1">
      <c r="A30" s="11">
        <f>+Precios!A32</f>
        <v>46016</v>
      </c>
      <c r="B30" s="2">
        <f>+SUM(Value!F34:XFD34)</f>
        <v>0</v>
      </c>
      <c r="C30" s="2">
        <f>+Value!D34</f>
        <v>1005582.19</v>
      </c>
      <c r="D30" s="2">
        <f t="shared" si="2"/>
        <v>1005582.19</v>
      </c>
      <c r="E30" s="6">
        <f t="shared" si="3"/>
        <v>5.5821899999999314E-3</v>
      </c>
      <c r="F30" s="10"/>
      <c r="G30" s="16">
        <v>634.84</v>
      </c>
    </row>
    <row r="31" spans="1:7" ht="15" thickBot="1">
      <c r="A31" s="11">
        <f>+Precios!A33</f>
        <v>46017</v>
      </c>
      <c r="B31" s="2">
        <f>+SUM(Value!F35:XFD35)</f>
        <v>0</v>
      </c>
      <c r="C31" s="2">
        <f>+Value!D35</f>
        <v>1005582.19</v>
      </c>
      <c r="D31" s="2">
        <f t="shared" si="2"/>
        <v>1005582.19</v>
      </c>
      <c r="E31" s="6">
        <f t="shared" si="3"/>
        <v>5.5821899999999314E-3</v>
      </c>
      <c r="F31" s="10"/>
      <c r="G31" s="16">
        <v>634.84</v>
      </c>
    </row>
    <row r="32" spans="1:7" ht="15" thickBot="1">
      <c r="A32" s="11">
        <f>+Precios!A34</f>
        <v>46020</v>
      </c>
      <c r="B32" s="2">
        <f>+SUM(Value!F36:XFD36)</f>
        <v>0</v>
      </c>
      <c r="C32" s="2">
        <f>+Value!D36</f>
        <v>1005582.19</v>
      </c>
      <c r="D32" s="2">
        <f t="shared" si="2"/>
        <v>1005582.19</v>
      </c>
      <c r="E32" s="6">
        <f t="shared" si="3"/>
        <v>5.5821899999999314E-3</v>
      </c>
      <c r="F32" s="10"/>
      <c r="G32" s="16">
        <v>632.6</v>
      </c>
    </row>
    <row r="33" spans="1:7" ht="15" thickBot="1">
      <c r="A33" s="11">
        <f>+Precios!A35</f>
        <v>46021</v>
      </c>
      <c r="B33" s="2">
        <f>+SUM(Value!F37:XFD37)</f>
        <v>0</v>
      </c>
      <c r="C33" s="2">
        <f>+Value!D37</f>
        <v>1005582.19</v>
      </c>
      <c r="D33" s="2">
        <f t="shared" si="2"/>
        <v>1005582.19</v>
      </c>
      <c r="E33" s="6">
        <f t="shared" si="3"/>
        <v>5.5821899999999314E-3</v>
      </c>
      <c r="F33" s="10"/>
      <c r="G33" s="16">
        <v>631.72</v>
      </c>
    </row>
    <row r="34" spans="1:7" ht="15" thickBot="1">
      <c r="A34" s="11">
        <f>+Precios!A36</f>
        <v>46022</v>
      </c>
      <c r="B34" s="2">
        <f>+SUM(Value!F38:XFD38)</f>
        <v>0</v>
      </c>
      <c r="C34" s="2">
        <f>+Value!D38</f>
        <v>1005582.19</v>
      </c>
      <c r="D34" s="2">
        <f t="shared" si="2"/>
        <v>1005582.19</v>
      </c>
      <c r="E34" s="6">
        <f t="shared" si="3"/>
        <v>5.5821899999999314E-3</v>
      </c>
      <c r="F34" s="10"/>
      <c r="G34" s="16">
        <v>627.13</v>
      </c>
    </row>
    <row r="35" spans="1:7" ht="15" thickBot="1">
      <c r="A35" s="11">
        <f>+Precios!A37</f>
        <v>46023</v>
      </c>
      <c r="B35" s="2">
        <f>+SUM(Value!F39:XFD39)</f>
        <v>0</v>
      </c>
      <c r="C35" s="2">
        <f>+Value!D39</f>
        <v>1005582.19</v>
      </c>
      <c r="D35" s="2">
        <f t="shared" si="2"/>
        <v>1005582.19</v>
      </c>
      <c r="E35" s="6">
        <f t="shared" si="3"/>
        <v>5.5821899999999314E-3</v>
      </c>
      <c r="F35" s="10"/>
      <c r="G35" s="16">
        <v>628.29999999999995</v>
      </c>
    </row>
    <row r="36" spans="1:7" ht="15" thickBot="1">
      <c r="A36" s="11">
        <f>+Precios!A38</f>
        <v>46024</v>
      </c>
      <c r="B36" s="2">
        <f>+SUM(Value!F40:XFD40)</f>
        <v>0</v>
      </c>
      <c r="C36" s="2">
        <f>+Value!D40</f>
        <v>1004812.19</v>
      </c>
      <c r="D36" s="2">
        <f t="shared" si="2"/>
        <v>1004812.19</v>
      </c>
      <c r="E36" s="6">
        <f t="shared" si="3"/>
        <v>4.812189999999994E-3</v>
      </c>
      <c r="F36" s="10"/>
      <c r="G36" s="16">
        <v>628.29999999999995</v>
      </c>
    </row>
    <row r="37" spans="1:7" ht="15" thickBot="1">
      <c r="A37" s="11">
        <f>+Precios!A39</f>
        <v>46027</v>
      </c>
      <c r="B37" s="2">
        <f>+SUM(Value!F41:XFD41)</f>
        <v>0</v>
      </c>
      <c r="C37" s="2">
        <f>+Value!D41</f>
        <v>1004812.19</v>
      </c>
      <c r="D37" s="2">
        <f t="shared" si="2"/>
        <v>1004812.19</v>
      </c>
      <c r="E37" s="6">
        <f t="shared" si="3"/>
        <v>4.812189999999994E-3</v>
      </c>
      <c r="F37" s="10"/>
      <c r="G37" s="16">
        <v>632.46</v>
      </c>
    </row>
    <row r="38" spans="1:7" ht="15" thickBot="1">
      <c r="A38" s="11">
        <f>+Precios!A40</f>
        <v>46028</v>
      </c>
      <c r="B38" s="2">
        <f>+SUM(Value!F42:XFD42)</f>
        <v>0</v>
      </c>
      <c r="C38" s="2">
        <f>+Value!D42</f>
        <v>1004812.19</v>
      </c>
      <c r="D38" s="2">
        <f t="shared" si="2"/>
        <v>1004812.19</v>
      </c>
      <c r="E38" s="6">
        <f t="shared" si="3"/>
        <v>4.812189999999994E-3</v>
      </c>
      <c r="F38" s="10"/>
      <c r="G38" s="16">
        <v>636.21</v>
      </c>
    </row>
    <row r="39" spans="1:7" ht="15" thickBot="1">
      <c r="A39" s="11">
        <f>+Precios!A41</f>
        <v>46029</v>
      </c>
      <c r="B39" s="2">
        <f>+SUM(Value!F43:XFD43)</f>
        <v>0</v>
      </c>
      <c r="C39" s="2">
        <f>+Value!D43</f>
        <v>998112.19</v>
      </c>
      <c r="D39" s="2">
        <f t="shared" si="2"/>
        <v>998112.19</v>
      </c>
      <c r="E39" s="6">
        <f t="shared" si="3"/>
        <v>-1.8878100000000453E-3</v>
      </c>
      <c r="F39" s="10"/>
      <c r="G39" s="16">
        <v>634.16999999999996</v>
      </c>
    </row>
    <row r="40" spans="1:7" ht="15" thickBot="1">
      <c r="A40" s="11">
        <f>+Precios!A42</f>
        <v>46030</v>
      </c>
      <c r="B40" s="2">
        <f>+SUM(Value!F44:XFD44)</f>
        <v>0</v>
      </c>
      <c r="C40" s="2">
        <f>+Value!D44</f>
        <v>998112.19</v>
      </c>
      <c r="D40" s="2">
        <f t="shared" si="2"/>
        <v>998112.19</v>
      </c>
      <c r="E40" s="6">
        <f t="shared" si="3"/>
        <v>-1.8878100000000453E-3</v>
      </c>
      <c r="F40" s="10"/>
      <c r="G40" s="16">
        <v>634.05999999999995</v>
      </c>
    </row>
    <row r="41" spans="1:7" ht="15" thickBot="1">
      <c r="A41" s="11">
        <f>+Precios!A43</f>
        <v>46031</v>
      </c>
      <c r="B41" s="2">
        <f>+SUM(Value!F45:XFD45)</f>
        <v>0</v>
      </c>
      <c r="C41" s="2">
        <f>+Value!D45</f>
        <v>1018992.19</v>
      </c>
      <c r="D41" s="2">
        <f t="shared" si="2"/>
        <v>1018992.19</v>
      </c>
      <c r="E41" s="6">
        <f t="shared" si="3"/>
        <v>1.8992189999999853E-2</v>
      </c>
      <c r="F41" s="10"/>
      <c r="G41" s="16">
        <v>638.30999999999995</v>
      </c>
    </row>
    <row r="42" spans="1:7" ht="15" thickBot="1">
      <c r="A42" s="11">
        <f>+Precios!A44</f>
        <v>46034</v>
      </c>
      <c r="B42" s="2">
        <f>+SUM(Value!F46:XFD46)</f>
        <v>0</v>
      </c>
      <c r="C42" s="2">
        <f>+Value!D46</f>
        <v>1018992.19</v>
      </c>
      <c r="D42" s="2">
        <f t="shared" si="2"/>
        <v>1018992.19</v>
      </c>
      <c r="E42" s="6">
        <f t="shared" si="3"/>
        <v>1.8992189999999853E-2</v>
      </c>
      <c r="F42" s="10"/>
      <c r="G42" s="16">
        <v>639.34</v>
      </c>
    </row>
    <row r="43" spans="1:7" ht="15" thickBot="1">
      <c r="A43" s="11">
        <f>+Precios!A45</f>
        <v>46035</v>
      </c>
      <c r="B43" s="2">
        <f>+SUM(Value!F47:XFD47)</f>
        <v>0</v>
      </c>
      <c r="C43" s="2">
        <f>+Value!D47</f>
        <v>1019832.19</v>
      </c>
      <c r="D43" s="2">
        <f t="shared" si="2"/>
        <v>1019832.19</v>
      </c>
      <c r="E43" s="6">
        <f t="shared" si="3"/>
        <v>1.9832190000000027E-2</v>
      </c>
      <c r="F43" s="10"/>
      <c r="G43" s="16">
        <v>638.03</v>
      </c>
    </row>
    <row r="44" spans="1:7" ht="15" thickBot="1">
      <c r="A44" s="11">
        <f>+Precios!A46</f>
        <v>46036</v>
      </c>
      <c r="B44" s="2">
        <f>+SUM(Value!F48:XFD48)</f>
        <v>0</v>
      </c>
      <c r="C44" s="2">
        <f>+Value!D48</f>
        <v>1019832.19</v>
      </c>
      <c r="D44" s="2">
        <f t="shared" si="2"/>
        <v>1019832.19</v>
      </c>
      <c r="E44" s="6">
        <f t="shared" si="3"/>
        <v>1.9832190000000027E-2</v>
      </c>
      <c r="F44" s="10"/>
      <c r="G44" s="16">
        <v>634.94000000000005</v>
      </c>
    </row>
    <row r="45" spans="1:7" ht="15" thickBot="1">
      <c r="A45" s="11">
        <f>+Precios!A47</f>
        <v>46037</v>
      </c>
      <c r="B45" s="2">
        <f>+SUM(Value!F49:XFD49)</f>
        <v>0</v>
      </c>
      <c r="C45" s="2">
        <f>+Value!D49</f>
        <v>1019832.19</v>
      </c>
      <c r="D45" s="2">
        <f t="shared" si="2"/>
        <v>1019832.19</v>
      </c>
      <c r="E45" s="6">
        <f t="shared" si="3"/>
        <v>1.9832190000000027E-2</v>
      </c>
      <c r="F45" s="10"/>
      <c r="G45" s="16">
        <v>636.62</v>
      </c>
    </row>
    <row r="46" spans="1:7" ht="15" thickBot="1">
      <c r="A46" s="11">
        <f>+Precios!A48</f>
        <v>46038</v>
      </c>
      <c r="B46" s="2">
        <f>+SUM(Value!F50:XFD50)</f>
        <v>0</v>
      </c>
      <c r="C46" s="2">
        <f>+Value!D50</f>
        <v>1019832.19</v>
      </c>
      <c r="D46" s="2">
        <f t="shared" si="2"/>
        <v>1019832.19</v>
      </c>
      <c r="E46" s="6">
        <f t="shared" si="3"/>
        <v>1.9832190000000027E-2</v>
      </c>
      <c r="F46" s="10"/>
      <c r="G46" s="16">
        <v>636.09</v>
      </c>
    </row>
    <row r="47" spans="1:7" ht="15" thickBot="1">
      <c r="A47" s="11">
        <f>+Precios!A49</f>
        <v>46041</v>
      </c>
      <c r="B47" s="2">
        <f>+SUM(Value!F51:XFD51)</f>
        <v>0</v>
      </c>
      <c r="C47" s="2">
        <f>+Value!D51</f>
        <v>1019832.19</v>
      </c>
      <c r="D47" s="2">
        <f t="shared" si="2"/>
        <v>1019832.19</v>
      </c>
      <c r="E47" s="6">
        <f t="shared" si="3"/>
        <v>1.9832190000000027E-2</v>
      </c>
      <c r="F47" s="10"/>
      <c r="G47" s="16">
        <v>623.15</v>
      </c>
    </row>
    <row r="48" spans="1:7" ht="15" thickBot="1">
      <c r="A48" s="11">
        <f>+Precios!A50</f>
        <v>46042</v>
      </c>
      <c r="B48" s="2">
        <f>+SUM(Value!F52:XFD52)</f>
        <v>0</v>
      </c>
      <c r="C48" s="2">
        <f>+Value!D52</f>
        <v>1015934.35</v>
      </c>
      <c r="D48" s="2">
        <f t="shared" si="2"/>
        <v>1015934.35</v>
      </c>
      <c r="E48" s="6">
        <f t="shared" si="3"/>
        <v>1.5934349999999986E-2</v>
      </c>
      <c r="F48" s="10"/>
      <c r="G48" s="16">
        <v>623.15</v>
      </c>
    </row>
    <row r="49" spans="1:7" ht="15" thickBot="1">
      <c r="A49" s="11">
        <f>+Precios!A51</f>
        <v>46043</v>
      </c>
      <c r="B49" s="2">
        <f>+SUM(Value!F53:XFD53)</f>
        <v>0</v>
      </c>
      <c r="C49" s="2">
        <f>+Value!D53</f>
        <v>1034974.35</v>
      </c>
      <c r="D49" s="2">
        <f t="shared" si="2"/>
        <v>1034974.35</v>
      </c>
      <c r="E49" s="6">
        <f t="shared" si="3"/>
        <v>3.4974349999999932E-2</v>
      </c>
      <c r="F49" s="10"/>
      <c r="G49" s="16">
        <v>630.29</v>
      </c>
    </row>
    <row r="50" spans="1:7" ht="15" thickBot="1">
      <c r="A50" s="11">
        <f>+Precios!A52</f>
        <v>46044</v>
      </c>
      <c r="B50" s="2">
        <f>+SUM(Value!F54:XFD54)</f>
        <v>0</v>
      </c>
      <c r="C50" s="2">
        <f>+Value!D54</f>
        <v>1034974.35</v>
      </c>
      <c r="D50" s="2">
        <f t="shared" si="2"/>
        <v>1034974.35</v>
      </c>
      <c r="E50" s="6">
        <f t="shared" si="3"/>
        <v>3.4974349999999932E-2</v>
      </c>
      <c r="F50" s="10"/>
      <c r="G50" s="16">
        <v>633.62</v>
      </c>
    </row>
    <row r="51" spans="1:7" ht="15" thickBot="1">
      <c r="A51" s="11">
        <f>+Precios!A53</f>
        <v>46045</v>
      </c>
      <c r="B51" s="2">
        <f>+SUM(Value!F55:XFD55)</f>
        <v>0</v>
      </c>
      <c r="C51" s="2">
        <f>+Value!D55</f>
        <v>1034974.35</v>
      </c>
      <c r="D51" s="2">
        <f t="shared" si="2"/>
        <v>1034974.35</v>
      </c>
      <c r="E51" s="6">
        <f t="shared" si="3"/>
        <v>3.4974349999999932E-2</v>
      </c>
      <c r="F51" s="10"/>
      <c r="G51" s="16">
        <v>633.83000000000004</v>
      </c>
    </row>
    <row r="52" spans="1:7" ht="15" thickBot="1">
      <c r="A52" s="11">
        <f>+Precios!A54</f>
        <v>46048</v>
      </c>
      <c r="B52" s="2">
        <f>+SUM(Value!F56:XFD56)</f>
        <v>0</v>
      </c>
      <c r="C52" s="2">
        <f>+Value!D56</f>
        <v>1034974.35</v>
      </c>
      <c r="D52" s="2">
        <f t="shared" ref="D52:D65" si="4">+B52+C52</f>
        <v>1034974.35</v>
      </c>
      <c r="E52" s="6">
        <f t="shared" ref="E52:E65" si="5">+D52/$D$3-1</f>
        <v>3.4974349999999932E-2</v>
      </c>
      <c r="F52" s="10"/>
      <c r="G52" s="16">
        <v>637.09</v>
      </c>
    </row>
    <row r="53" spans="1:7" ht="15" thickBot="1">
      <c r="A53" s="11">
        <f>+Precios!A55</f>
        <v>46049</v>
      </c>
      <c r="B53" s="2">
        <f>+SUM(Value!F57:XFD57)</f>
        <v>0</v>
      </c>
      <c r="C53" s="2">
        <f>+Value!D57</f>
        <v>1015867.13</v>
      </c>
      <c r="D53" s="2">
        <f t="shared" si="4"/>
        <v>1015867.13</v>
      </c>
      <c r="E53" s="6">
        <f t="shared" si="5"/>
        <v>1.5867129999999952E-2</v>
      </c>
      <c r="F53" s="10"/>
      <c r="G53" s="16">
        <v>639.70000000000005</v>
      </c>
    </row>
    <row r="54" spans="1:7" ht="15" thickBot="1">
      <c r="A54" s="11">
        <f>+Precios!A56</f>
        <v>46050</v>
      </c>
      <c r="B54" s="2">
        <f>+SUM(Value!F58:XFD58)</f>
        <v>0</v>
      </c>
      <c r="C54" s="2">
        <f>+Value!D58</f>
        <v>1009482.84</v>
      </c>
      <c r="D54" s="2">
        <f t="shared" si="4"/>
        <v>1009482.84</v>
      </c>
      <c r="E54" s="6">
        <f t="shared" si="5"/>
        <v>9.4828399999999924E-3</v>
      </c>
      <c r="F54" s="10"/>
      <c r="G54" s="16">
        <v>639.6</v>
      </c>
    </row>
    <row r="55" spans="1:7" ht="15" thickBot="1">
      <c r="A55" s="11">
        <f>+Precios!A57</f>
        <v>46051</v>
      </c>
      <c r="B55" s="2">
        <f>+SUM(Value!F59:XFD59)</f>
        <v>0</v>
      </c>
      <c r="C55" s="2">
        <f>+Value!D59</f>
        <v>1009482.84</v>
      </c>
      <c r="D55" s="2">
        <f t="shared" si="4"/>
        <v>1009482.84</v>
      </c>
      <c r="E55" s="6">
        <f t="shared" si="5"/>
        <v>9.4828399999999924E-3</v>
      </c>
      <c r="F55" s="10"/>
      <c r="G55" s="16">
        <v>638.27</v>
      </c>
    </row>
    <row r="56" spans="1:7" ht="15" thickBot="1">
      <c r="A56" s="11">
        <f>+Precios!A58</f>
        <v>46052</v>
      </c>
      <c r="B56" s="2">
        <f>+SUM(Value!F60:XFD60)</f>
        <v>0</v>
      </c>
      <c r="C56" s="2">
        <f>+Value!D60</f>
        <v>1011883.18</v>
      </c>
      <c r="D56" s="2">
        <f t="shared" si="4"/>
        <v>1011883.18</v>
      </c>
      <c r="E56" s="6">
        <f t="shared" si="5"/>
        <v>1.1883180000000104E-2</v>
      </c>
      <c r="F56" s="10"/>
      <c r="G56" s="16">
        <v>636.22</v>
      </c>
    </row>
    <row r="57" spans="1:7" ht="15" thickBot="1">
      <c r="A57" s="11">
        <f>+Precios!A59</f>
        <v>46055</v>
      </c>
      <c r="B57" s="2">
        <f>+SUM(Value!F61:XFD61)</f>
        <v>0</v>
      </c>
      <c r="C57" s="2">
        <f>+Value!D61</f>
        <v>1011883.18</v>
      </c>
      <c r="D57" s="2">
        <f t="shared" si="4"/>
        <v>1011883.18</v>
      </c>
      <c r="E57" s="6">
        <f t="shared" si="5"/>
        <v>1.1883180000000104E-2</v>
      </c>
      <c r="F57" s="10"/>
      <c r="G57" s="16">
        <v>639.67999999999995</v>
      </c>
    </row>
    <row r="58" spans="1:7" ht="15" thickBot="1">
      <c r="A58" s="11">
        <f>+Precios!A60</f>
        <v>46056</v>
      </c>
      <c r="B58" s="2">
        <f>+SUM(Value!F62:XFD62)</f>
        <v>0</v>
      </c>
      <c r="C58" s="2">
        <f>+Value!D62</f>
        <v>1011883.18</v>
      </c>
      <c r="D58" s="2">
        <f t="shared" si="4"/>
        <v>1011883.18</v>
      </c>
      <c r="E58" s="6">
        <f t="shared" si="5"/>
        <v>1.1883180000000104E-2</v>
      </c>
      <c r="F58" s="10"/>
      <c r="G58" s="16">
        <v>634.15</v>
      </c>
    </row>
    <row r="59" spans="1:7" ht="15" thickBot="1">
      <c r="A59" s="11">
        <f>+Precios!A61</f>
        <v>46057</v>
      </c>
      <c r="B59" s="2">
        <f>+SUM(Value!F63:XFD63)</f>
        <v>0</v>
      </c>
      <c r="C59" s="2">
        <f>+Value!D63</f>
        <v>1069601.78</v>
      </c>
      <c r="D59" s="2">
        <f t="shared" si="4"/>
        <v>1069601.78</v>
      </c>
      <c r="E59" s="6">
        <f t="shared" si="5"/>
        <v>6.9601779999999946E-2</v>
      </c>
      <c r="F59" s="10"/>
      <c r="G59" s="16">
        <v>630.91</v>
      </c>
    </row>
    <row r="60" spans="1:7" ht="15" thickBot="1">
      <c r="A60" s="11">
        <f>+Precios!A62</f>
        <v>46058</v>
      </c>
      <c r="B60" s="2">
        <f>+SUM(Value!F64:XFD64)</f>
        <v>0</v>
      </c>
      <c r="C60" s="2">
        <f>+Value!D64</f>
        <v>1067962.28</v>
      </c>
      <c r="D60" s="2">
        <f t="shared" si="4"/>
        <v>1067962.28</v>
      </c>
      <c r="E60" s="6">
        <f t="shared" si="5"/>
        <v>6.7962279999999931E-2</v>
      </c>
      <c r="F60" s="10"/>
      <c r="G60" s="16">
        <v>623.1</v>
      </c>
    </row>
    <row r="61" spans="1:7" ht="15" thickBot="1">
      <c r="A61" s="11">
        <f>+Precios!A63</f>
        <v>46059</v>
      </c>
      <c r="B61" s="2">
        <f>+SUM(Value!F65:XFD65)</f>
        <v>0</v>
      </c>
      <c r="C61" s="2">
        <f>+Value!D65</f>
        <v>1066264.1599999999</v>
      </c>
      <c r="D61" s="2">
        <f t="shared" si="4"/>
        <v>1066264.1599999999</v>
      </c>
      <c r="E61" s="6">
        <f t="shared" si="5"/>
        <v>6.6264160000000016E-2</v>
      </c>
      <c r="F61" s="10"/>
      <c r="G61" s="16">
        <v>635.24</v>
      </c>
    </row>
    <row r="62" spans="1:7" ht="15" thickBot="1">
      <c r="A62" s="11">
        <f>+Precios!A64</f>
        <v>46062</v>
      </c>
      <c r="B62" s="2">
        <f>+SUM(Value!F66:XFD66)</f>
        <v>0</v>
      </c>
      <c r="C62" s="2">
        <f>+Value!D66</f>
        <v>1066264.1599999999</v>
      </c>
      <c r="D62" s="2">
        <f t="shared" si="4"/>
        <v>1066264.1599999999</v>
      </c>
      <c r="E62" s="6">
        <f t="shared" si="5"/>
        <v>6.6264160000000016E-2</v>
      </c>
      <c r="F62" s="10"/>
      <c r="G62" s="16">
        <v>638.23</v>
      </c>
    </row>
    <row r="63" spans="1:7" ht="15" thickBot="1">
      <c r="A63" s="11">
        <f>+Precios!A65</f>
        <v>46063</v>
      </c>
      <c r="B63" s="2">
        <f>+SUM(Value!F67:XFD67)</f>
        <v>0</v>
      </c>
      <c r="C63" s="2">
        <f>+Value!D67</f>
        <v>1066264.1599999999</v>
      </c>
      <c r="D63" s="2">
        <f t="shared" si="4"/>
        <v>1066264.1599999999</v>
      </c>
      <c r="E63" s="6">
        <f t="shared" si="5"/>
        <v>6.6264160000000016E-2</v>
      </c>
      <c r="F63" s="10"/>
      <c r="G63" s="16">
        <v>636.44000000000005</v>
      </c>
    </row>
    <row r="64" spans="1:7" ht="15" thickBot="1">
      <c r="A64" s="11">
        <f>+Precios!A66</f>
        <v>46064</v>
      </c>
      <c r="B64" s="2">
        <f>+SUM(Value!F68:XFD68)</f>
        <v>0</v>
      </c>
      <c r="C64" s="2">
        <f>+Value!D68</f>
        <v>1062388.77</v>
      </c>
      <c r="D64" s="2">
        <f t="shared" si="4"/>
        <v>1062388.77</v>
      </c>
      <c r="E64" s="6">
        <f t="shared" si="5"/>
        <v>6.2388770000000093E-2</v>
      </c>
      <c r="F64" s="10"/>
      <c r="G64" s="16">
        <v>636.35</v>
      </c>
    </row>
    <row r="65" spans="1:7" ht="15" thickBot="1">
      <c r="A65" s="11">
        <f>+Precios!A67</f>
        <v>46065</v>
      </c>
      <c r="B65" s="2">
        <f>+SUM(Value!F69:XFD69)</f>
        <v>0</v>
      </c>
      <c r="C65" s="2">
        <f>+Value!D69</f>
        <v>1062388.77</v>
      </c>
      <c r="D65" s="2">
        <f t="shared" si="4"/>
        <v>1062388.77</v>
      </c>
      <c r="E65" s="6">
        <f t="shared" si="5"/>
        <v>6.2388770000000093E-2</v>
      </c>
      <c r="F65" s="10"/>
      <c r="G65" s="16">
        <v>626.49</v>
      </c>
    </row>
    <row r="66" spans="1:7" ht="15" thickBot="1">
      <c r="A66" s="11">
        <f>+Precios!A68</f>
        <v>46066</v>
      </c>
      <c r="B66" s="2">
        <f>+SUM(Value!F70:XFD70)</f>
        <v>0</v>
      </c>
      <c r="C66" s="2">
        <f>+Value!D70</f>
        <v>1062388.77</v>
      </c>
      <c r="D66" s="2">
        <f t="shared" si="2"/>
        <v>1062388.77</v>
      </c>
      <c r="E66" s="6">
        <f t="shared" si="3"/>
        <v>6.2388770000000093E-2</v>
      </c>
      <c r="F66" s="10"/>
      <c r="G66" s="16">
        <v>626.89</v>
      </c>
    </row>
    <row r="67" spans="1:7" ht="15" thickBot="1">
      <c r="A67" s="11">
        <f>+Precios!A69</f>
        <v>46069</v>
      </c>
      <c r="B67" s="2">
        <f>+SUM(Value!F71:XFD71)</f>
        <v>0</v>
      </c>
      <c r="C67" s="2">
        <f>+Value!D71</f>
        <v>1062388.77</v>
      </c>
      <c r="D67" s="2">
        <f t="shared" si="2"/>
        <v>1062388.77</v>
      </c>
      <c r="E67" s="6">
        <f t="shared" si="3"/>
        <v>6.2388770000000093E-2</v>
      </c>
      <c r="F67" s="10"/>
      <c r="G67" s="16">
        <v>627.99</v>
      </c>
    </row>
    <row r="68" spans="1:7" ht="15" thickBot="1">
      <c r="A68" s="11">
        <f>+Precios!A70</f>
        <v>46070</v>
      </c>
      <c r="B68" s="2">
        <f>+SUM(Value!F72:XFD72)</f>
        <v>49235.409999999996</v>
      </c>
      <c r="C68" s="2">
        <f>+Value!D72</f>
        <v>1003933.28</v>
      </c>
      <c r="D68" s="2">
        <f t="shared" si="2"/>
        <v>1053168.69</v>
      </c>
      <c r="E68" s="6">
        <f t="shared" si="3"/>
        <v>5.3168689999999907E-2</v>
      </c>
      <c r="F68" s="10"/>
      <c r="G68" s="16">
        <v>627.99</v>
      </c>
    </row>
    <row r="69" spans="1:7" ht="15" thickBot="1">
      <c r="A69" s="11">
        <f>+Precios!A71</f>
        <v>46071</v>
      </c>
      <c r="B69" s="2">
        <f>+SUM(Value!F73:XFD73)</f>
        <v>50245.159999999996</v>
      </c>
      <c r="C69" s="2">
        <f>+Value!D73</f>
        <v>1003933.28</v>
      </c>
      <c r="D69" s="2">
        <f t="shared" si="2"/>
        <v>1054178.44</v>
      </c>
      <c r="E69" s="6">
        <f t="shared" si="3"/>
        <v>5.417844000000005E-2</v>
      </c>
      <c r="F69" s="10"/>
      <c r="G69" s="16">
        <v>631.15</v>
      </c>
    </row>
    <row r="70" spans="1:7" ht="15" thickBot="1">
      <c r="A70" s="11">
        <f>+Precios!A72</f>
        <v>46072</v>
      </c>
      <c r="B70" s="2">
        <f>+SUM(Value!F74:XFD74)</f>
        <v>56061.32</v>
      </c>
      <c r="C70" s="2">
        <f>+Value!D74</f>
        <v>1003933.28</v>
      </c>
      <c r="D70" s="2">
        <f t="shared" si="2"/>
        <v>1059994.6000000001</v>
      </c>
      <c r="E70" s="6">
        <f t="shared" si="3"/>
        <v>5.9994600000000009E-2</v>
      </c>
      <c r="F70" s="10"/>
      <c r="G70" s="16">
        <v>629.53</v>
      </c>
    </row>
    <row r="71" spans="1:7" ht="15" thickBot="1">
      <c r="A71" s="11">
        <f>+Precios!A73</f>
        <v>46073</v>
      </c>
      <c r="B71" s="2">
        <f>+SUM(Value!F75:XFD75)</f>
        <v>55132.35</v>
      </c>
      <c r="C71" s="2">
        <f>+Value!D75</f>
        <v>1003933.28</v>
      </c>
      <c r="D71" s="2">
        <f t="shared" ref="D71:D98" si="6">+B71+C71</f>
        <v>1059065.6300000001</v>
      </c>
      <c r="E71" s="6">
        <f t="shared" ref="E71:E98" si="7">+D71/$D$3-1</f>
        <v>5.9065630000000091E-2</v>
      </c>
      <c r="F71" s="10"/>
      <c r="G71" s="16">
        <v>634.02</v>
      </c>
    </row>
    <row r="72" spans="1:7" ht="15" thickBot="1">
      <c r="A72" s="11">
        <f>+Precios!A74</f>
        <v>46076</v>
      </c>
      <c r="B72" s="2">
        <f>+SUM(Value!F76:XFD76)</f>
        <v>56505.61</v>
      </c>
      <c r="C72" s="2">
        <f>+Value!D76</f>
        <v>1003933.28</v>
      </c>
      <c r="D72" s="2">
        <f t="shared" si="6"/>
        <v>1060438.8900000001</v>
      </c>
      <c r="E72" s="6">
        <f t="shared" si="7"/>
        <v>6.0438890000000134E-2</v>
      </c>
      <c r="F72" s="10"/>
      <c r="G72" s="16">
        <v>627.63</v>
      </c>
    </row>
    <row r="73" spans="1:7" ht="15" thickBot="1">
      <c r="A73" s="11">
        <f>+Precios!A75</f>
        <v>46077</v>
      </c>
      <c r="B73" s="2">
        <f>+SUM(Value!F77:XFD77)</f>
        <v>57636.53</v>
      </c>
      <c r="C73" s="2">
        <f>+Value!D77</f>
        <v>1003933.28</v>
      </c>
      <c r="D73" s="2">
        <f t="shared" si="6"/>
        <v>1061569.81</v>
      </c>
      <c r="E73" s="6">
        <f t="shared" si="7"/>
        <v>6.1569809999999947E-2</v>
      </c>
      <c r="F73" s="10"/>
      <c r="G73" s="16">
        <v>632.21</v>
      </c>
    </row>
    <row r="74" spans="1:7" ht="15" thickBot="1">
      <c r="A74" s="11">
        <f>+Precios!A76</f>
        <v>46078</v>
      </c>
      <c r="B74" s="2">
        <f>+SUM(Value!F78:XFD78)</f>
        <v>58000.04</v>
      </c>
      <c r="C74" s="2">
        <f>+Value!D78</f>
        <v>1000008.3999999999</v>
      </c>
      <c r="D74" s="2">
        <f t="shared" si="6"/>
        <v>1058008.44</v>
      </c>
      <c r="E74" s="6">
        <f t="shared" si="7"/>
        <v>5.800844000000005E-2</v>
      </c>
      <c r="F74" s="10"/>
      <c r="G74" s="16">
        <v>637.53</v>
      </c>
    </row>
    <row r="75" spans="1:7" ht="15" thickBot="1">
      <c r="A75" s="11">
        <f>+Precios!A77</f>
        <v>46079</v>
      </c>
      <c r="B75" s="2">
        <f>+SUM(Value!F79:XFD79)</f>
        <v>61433.19</v>
      </c>
      <c r="C75" s="2">
        <f>+Value!D79</f>
        <v>1000008.3999999999</v>
      </c>
      <c r="D75" s="2">
        <f t="shared" si="6"/>
        <v>1061441.5899999999</v>
      </c>
      <c r="E75" s="6">
        <f t="shared" si="7"/>
        <v>6.1441589999999824E-2</v>
      </c>
      <c r="F75" s="10"/>
      <c r="G75" s="16">
        <v>633.95000000000005</v>
      </c>
    </row>
    <row r="76" spans="1:7" ht="15" thickBot="1">
      <c r="A76" s="11">
        <f>+Precios!A78</f>
        <v>46080</v>
      </c>
      <c r="B76" s="2">
        <f>+SUM(Value!F80:XFD80)</f>
        <v>62604.5</v>
      </c>
      <c r="C76" s="2">
        <f>+Value!D80</f>
        <v>999558.75</v>
      </c>
      <c r="D76" s="2">
        <f t="shared" si="6"/>
        <v>1062163.25</v>
      </c>
      <c r="E76" s="6">
        <f t="shared" si="7"/>
        <v>6.2163250000000003E-2</v>
      </c>
      <c r="F76" s="10"/>
      <c r="G76" s="16">
        <v>631.04</v>
      </c>
    </row>
    <row r="77" spans="1:7" ht="15" thickBot="1">
      <c r="A77" s="11">
        <f>+Precios!A79</f>
        <v>46083</v>
      </c>
      <c r="B77" s="2">
        <f>+SUM(Value!F81:XFD81)</f>
        <v>64583.61</v>
      </c>
      <c r="C77" s="2">
        <f>+Value!D81</f>
        <v>999558.75</v>
      </c>
      <c r="D77" s="2">
        <f t="shared" si="6"/>
        <v>1064142.3600000001</v>
      </c>
      <c r="E77" s="6">
        <f t="shared" si="7"/>
        <v>6.4142360000000176E-2</v>
      </c>
      <c r="F77" s="10"/>
      <c r="G77" s="16">
        <v>631.28</v>
      </c>
    </row>
    <row r="78" spans="1:7" ht="15" thickBot="1">
      <c r="A78" s="11">
        <f>+Precios!A80</f>
        <v>46084</v>
      </c>
      <c r="B78" s="2">
        <f>+SUM(Value!F82:XFD82)</f>
        <v>63533.47</v>
      </c>
      <c r="C78" s="2">
        <f>+Value!D82</f>
        <v>1003285.81</v>
      </c>
      <c r="D78" s="2">
        <f t="shared" si="6"/>
        <v>1066819.28</v>
      </c>
      <c r="E78" s="6">
        <f t="shared" si="7"/>
        <v>6.6819280000000036E-2</v>
      </c>
      <c r="F78" s="10"/>
      <c r="G78" s="16">
        <v>625.72</v>
      </c>
    </row>
    <row r="79" spans="1:7" ht="15" thickBot="1">
      <c r="A79" s="11">
        <f>+Precios!A81</f>
        <v>46085</v>
      </c>
      <c r="B79" s="2">
        <f>+SUM(Value!F83:XFD83)</f>
        <v>65835.7</v>
      </c>
      <c r="C79" s="2">
        <f>+Value!D83</f>
        <v>1003285.81</v>
      </c>
      <c r="D79" s="2">
        <f t="shared" si="6"/>
        <v>1069121.51</v>
      </c>
      <c r="E79" s="6">
        <f t="shared" si="7"/>
        <v>6.9121509999999997E-2</v>
      </c>
      <c r="F79" s="10"/>
      <c r="G79" s="16">
        <v>630.17999999999995</v>
      </c>
    </row>
    <row r="80" spans="1:7" ht="15" thickBot="1">
      <c r="A80" s="11">
        <f>+Precios!A82</f>
        <v>46086</v>
      </c>
      <c r="B80" s="2">
        <f>+SUM(Value!F84:XFD84)</f>
        <v>113009.4</v>
      </c>
      <c r="C80" s="2">
        <f>+Value!D84</f>
        <v>953284.81</v>
      </c>
      <c r="D80" s="2">
        <f t="shared" si="6"/>
        <v>1066294.21</v>
      </c>
      <c r="E80" s="6">
        <f t="shared" si="7"/>
        <v>6.6294209999999909E-2</v>
      </c>
      <c r="G80" s="16">
        <v>626.80999999999995</v>
      </c>
    </row>
    <row r="81" spans="1:7" ht="15" thickBot="1">
      <c r="A81" s="11">
        <f>+Precios!A83</f>
        <v>46087</v>
      </c>
      <c r="B81" s="2">
        <f>+SUM(Value!F85:XFD85)</f>
        <v>126289.4</v>
      </c>
      <c r="C81" s="2">
        <f>+Value!D85</f>
        <v>953284.81</v>
      </c>
      <c r="D81" s="2">
        <f t="shared" si="6"/>
        <v>1079574.21</v>
      </c>
      <c r="E81" s="6">
        <f t="shared" si="7"/>
        <v>7.9574209999999868E-2</v>
      </c>
      <c r="G81" s="16">
        <v>618.42999999999995</v>
      </c>
    </row>
    <row r="82" spans="1:7" ht="15" thickBot="1">
      <c r="A82" s="11">
        <f>+Precios!A84</f>
        <v>46090</v>
      </c>
      <c r="B82" s="2">
        <f>+SUM(Value!F86:XFD86)</f>
        <v>174285.7</v>
      </c>
      <c r="C82" s="2">
        <f>+Value!D86</f>
        <v>803322.35000000009</v>
      </c>
      <c r="D82" s="2">
        <f t="shared" si="6"/>
        <v>977608.05</v>
      </c>
      <c r="E82" s="6">
        <f t="shared" si="7"/>
        <v>-2.2391949999999938E-2</v>
      </c>
      <c r="G82" s="16">
        <v>623.79999999999995</v>
      </c>
    </row>
    <row r="83" spans="1:7" ht="15" thickBot="1">
      <c r="A83" s="11">
        <f>+Precios!A85</f>
        <v>46091</v>
      </c>
      <c r="B83" s="2">
        <f>+SUM(Value!F87:XFD87)</f>
        <v>180479.28999999998</v>
      </c>
      <c r="C83" s="2">
        <f>+Value!D87</f>
        <v>803322.35000000009</v>
      </c>
      <c r="D83" s="2">
        <f t="shared" si="6"/>
        <v>983801.64000000013</v>
      </c>
      <c r="E83" s="6">
        <f t="shared" si="7"/>
        <v>-1.6198359999999856E-2</v>
      </c>
      <c r="G83" s="16">
        <v>622.72</v>
      </c>
    </row>
    <row r="84" spans="1:7" ht="15" thickBot="1">
      <c r="A84" s="11">
        <f>+Precios!A86</f>
        <v>46092</v>
      </c>
      <c r="B84" s="2">
        <f>+SUM(Value!F88:XFD88)</f>
        <v>178047.78</v>
      </c>
      <c r="C84" s="2">
        <f>+Value!D88</f>
        <v>803322.35000000009</v>
      </c>
      <c r="D84" s="2">
        <f t="shared" si="6"/>
        <v>981370.13000000012</v>
      </c>
      <c r="E84" s="6">
        <f t="shared" si="7"/>
        <v>-1.8629869999999826E-2</v>
      </c>
      <c r="G84" s="16">
        <v>622.03</v>
      </c>
    </row>
    <row r="85" spans="1:7" ht="15" thickBot="1">
      <c r="A85" s="11">
        <f>+Precios!A87</f>
        <v>46093</v>
      </c>
      <c r="B85" s="2">
        <f>+SUM(Value!F89:XFD89)</f>
        <v>178777.40999999997</v>
      </c>
      <c r="C85" s="2">
        <f>+Value!D89</f>
        <v>803322.35000000009</v>
      </c>
      <c r="D85" s="2">
        <f t="shared" si="6"/>
        <v>982099.76</v>
      </c>
      <c r="E85" s="6">
        <f t="shared" si="7"/>
        <v>-1.7900240000000012E-2</v>
      </c>
      <c r="G85" s="16">
        <v>612.5</v>
      </c>
    </row>
    <row r="86" spans="1:7" ht="15" thickBot="1">
      <c r="A86" s="11">
        <f>+Precios!A88</f>
        <v>46094</v>
      </c>
      <c r="B86" s="2">
        <f>+SUM(Value!F90:XFD90)</f>
        <v>170865.37</v>
      </c>
      <c r="C86" s="2">
        <f>+Value!D90</f>
        <v>803322.35000000009</v>
      </c>
      <c r="D86" s="2">
        <f t="shared" si="6"/>
        <v>974187.72000000009</v>
      </c>
      <c r="E86" s="6">
        <f t="shared" si="7"/>
        <v>-2.581227999999991E-2</v>
      </c>
      <c r="G86" s="16">
        <v>609.09</v>
      </c>
    </row>
    <row r="87" spans="1:7" ht="15" thickBot="1">
      <c r="A87" s="11">
        <f>+Precios!A89</f>
        <v>46097</v>
      </c>
      <c r="B87" s="2">
        <f>+SUM(Value!F91:XFD91)</f>
        <v>168144.31</v>
      </c>
      <c r="C87" s="2">
        <f>+Value!D91</f>
        <v>803322.35000000009</v>
      </c>
      <c r="D87" s="2">
        <f t="shared" si="6"/>
        <v>971466.66000000015</v>
      </c>
      <c r="E87" s="6">
        <f t="shared" si="7"/>
        <v>-2.8533339999999852E-2</v>
      </c>
      <c r="G87" s="16">
        <v>615.19000000000005</v>
      </c>
    </row>
    <row r="88" spans="1:7" ht="15" thickBot="1">
      <c r="A88" s="11">
        <f>+Precios!A90</f>
        <v>46098</v>
      </c>
      <c r="B88" s="2">
        <f>+SUM(Value!F92:XFD92)</f>
        <v>172504.49</v>
      </c>
      <c r="C88" s="2">
        <f>+Value!D92</f>
        <v>803322.35000000009</v>
      </c>
      <c r="D88" s="2">
        <f t="shared" si="6"/>
        <v>975826.84000000008</v>
      </c>
      <c r="E88" s="6">
        <f t="shared" si="7"/>
        <v>-2.4173159999999916E-2</v>
      </c>
      <c r="G88" s="16">
        <v>616.89</v>
      </c>
    </row>
    <row r="89" spans="1:7" ht="15" thickBot="1">
      <c r="A89" s="11">
        <f>+Precios!A91</f>
        <v>46099</v>
      </c>
      <c r="B89" s="2">
        <f>+SUM(Value!F93:XFD93)</f>
        <v>169064.51</v>
      </c>
      <c r="C89" s="2">
        <f>+Value!D93</f>
        <v>803322.35000000009</v>
      </c>
      <c r="D89" s="2">
        <f t="shared" si="6"/>
        <v>972386.8600000001</v>
      </c>
      <c r="E89" s="6">
        <f t="shared" si="7"/>
        <v>-2.7613139999999925E-2</v>
      </c>
      <c r="G89" s="16">
        <v>608.38</v>
      </c>
    </row>
    <row r="90" spans="1:7" ht="15" thickBot="1">
      <c r="A90" s="11">
        <f>+Precios!A92</f>
        <v>46100</v>
      </c>
      <c r="B90" s="2">
        <f>+SUM(Value!F94:XFD94)</f>
        <v>168303.45</v>
      </c>
      <c r="C90" s="2">
        <f>+Value!D94</f>
        <v>742665.99</v>
      </c>
      <c r="D90" s="2">
        <f t="shared" si="6"/>
        <v>910969.44</v>
      </c>
      <c r="E90" s="6">
        <f t="shared" si="7"/>
        <v>-8.9030560000000092E-2</v>
      </c>
      <c r="G90" s="16">
        <v>606.75</v>
      </c>
    </row>
    <row r="91" spans="1:7" ht="15" thickBot="1">
      <c r="A91" s="11">
        <f>+Precios!A93</f>
        <v>46101</v>
      </c>
      <c r="B91" s="2">
        <f>+SUM(Value!F95:XFD95)</f>
        <v>158406.91999999998</v>
      </c>
      <c r="C91" s="2">
        <f>+Value!D95</f>
        <v>742665.99</v>
      </c>
      <c r="D91" s="2">
        <f t="shared" si="6"/>
        <v>901072.90999999992</v>
      </c>
      <c r="E91" s="6">
        <f t="shared" si="7"/>
        <v>-9.8927090000000106E-2</v>
      </c>
      <c r="G91" s="16">
        <v>597.94000000000005</v>
      </c>
    </row>
    <row r="92" spans="1:7" ht="15" thickBot="1">
      <c r="A92" s="11">
        <f>+Precios!A94</f>
        <v>46104</v>
      </c>
      <c r="B92" s="2">
        <f>+SUM(Value!F96:XFD96)</f>
        <v>160015.24</v>
      </c>
      <c r="C92" s="2">
        <f>+Value!D96</f>
        <v>742665.99</v>
      </c>
      <c r="D92" s="2">
        <f t="shared" si="6"/>
        <v>902681.23</v>
      </c>
      <c r="E92" s="6">
        <f t="shared" si="7"/>
        <v>-9.7318769999999999E-2</v>
      </c>
      <c r="G92" s="16">
        <v>604.42999999999995</v>
      </c>
    </row>
    <row r="93" spans="1:7" ht="15" thickBot="1">
      <c r="A93" s="11">
        <f>+Precios!A95</f>
        <v>46105</v>
      </c>
      <c r="B93" s="2">
        <f>+SUM(Value!F97:XFD97)</f>
        <v>163809.32999999999</v>
      </c>
      <c r="C93" s="2">
        <f>+Value!D97</f>
        <v>740883.03</v>
      </c>
      <c r="D93" s="2">
        <f t="shared" si="6"/>
        <v>904692.36</v>
      </c>
      <c r="E93" s="6">
        <f t="shared" si="7"/>
        <v>-9.5307640000000027E-2</v>
      </c>
      <c r="G93" s="16">
        <v>602.38</v>
      </c>
    </row>
    <row r="94" spans="1:7" ht="15" thickBot="1">
      <c r="A94" s="11">
        <f>+Precios!A96</f>
        <v>46106</v>
      </c>
      <c r="B94" s="2">
        <f>+SUM(Value!F98:XFD98)</f>
        <v>168187.72</v>
      </c>
      <c r="C94" s="2">
        <f>+Value!D98</f>
        <v>790883.03</v>
      </c>
      <c r="D94" s="2">
        <f t="shared" si="6"/>
        <v>959070.75</v>
      </c>
      <c r="E94" s="6">
        <f t="shared" si="7"/>
        <v>-4.0929250000000028E-2</v>
      </c>
      <c r="G94" s="16">
        <v>605.66</v>
      </c>
    </row>
    <row r="95" spans="1:7" ht="15" thickBot="1">
      <c r="A95" s="11">
        <f>+Precios!A97</f>
        <v>46107</v>
      </c>
      <c r="B95" s="2">
        <f>+SUM(Value!F99:XFD99)</f>
        <v>167408.46</v>
      </c>
      <c r="C95" s="2">
        <f>+Value!D99</f>
        <v>790883.03</v>
      </c>
      <c r="D95" s="2">
        <f t="shared" si="6"/>
        <v>958291.49</v>
      </c>
      <c r="E95" s="6">
        <f t="shared" si="7"/>
        <v>-4.1708509999999976E-2</v>
      </c>
      <c r="G95" s="16">
        <v>594.91999999999996</v>
      </c>
    </row>
    <row r="96" spans="1:7" ht="15" thickBot="1">
      <c r="A96" s="11">
        <f>+Precios!A98</f>
        <v>46108</v>
      </c>
      <c r="B96" s="2">
        <f>+SUM(Value!F100:XFD100)</f>
        <v>163524.71000000002</v>
      </c>
      <c r="C96" s="2">
        <f>+Value!D100</f>
        <v>790883.03</v>
      </c>
      <c r="D96" s="2">
        <f t="shared" si="6"/>
        <v>954407.74</v>
      </c>
      <c r="E96" s="6">
        <f t="shared" si="7"/>
        <v>-4.5592260000000051E-2</v>
      </c>
      <c r="G96" s="16">
        <v>582.96</v>
      </c>
    </row>
    <row r="97" spans="1:7" ht="15" thickBot="1">
      <c r="A97" s="11">
        <f>+Precios!A99</f>
        <v>46111</v>
      </c>
      <c r="B97" s="2">
        <f>+SUM(Value!F101:XFD101)</f>
        <v>165124.53</v>
      </c>
      <c r="C97" s="2">
        <f>+Value!D101</f>
        <v>790883.03</v>
      </c>
      <c r="D97" s="2">
        <f t="shared" si="6"/>
        <v>956007.56</v>
      </c>
      <c r="E97" s="6">
        <f t="shared" si="7"/>
        <v>-4.3992439999999911E-2</v>
      </c>
      <c r="G97" s="16">
        <v>580.92999999999995</v>
      </c>
    </row>
    <row r="98" spans="1:7" ht="15" thickBot="1">
      <c r="A98" s="11">
        <f>+Precios!A100</f>
        <v>46112</v>
      </c>
      <c r="B98" s="2">
        <f>+SUM(Value!F102:XFD102)</f>
        <v>281695.87</v>
      </c>
      <c r="C98" s="2">
        <f>+Value!D102</f>
        <v>640932.15</v>
      </c>
      <c r="D98" s="2">
        <f t="shared" si="6"/>
        <v>922628.02</v>
      </c>
      <c r="E98" s="6">
        <f t="shared" si="7"/>
        <v>-7.7371980000000007E-2</v>
      </c>
      <c r="G98" s="16">
        <v>597.54999999999995</v>
      </c>
    </row>
    <row r="99" spans="1:7" ht="15" thickBot="1">
      <c r="A99" s="11">
        <f>+Precios!A101</f>
        <v>46113</v>
      </c>
      <c r="B99" s="2">
        <f>+SUM(Value!F103:XFD103)</f>
        <v>385994.18999999994</v>
      </c>
      <c r="C99" s="2">
        <f>+Value!D103</f>
        <v>540932.15</v>
      </c>
      <c r="D99" s="2">
        <f t="shared" ref="D99:D106" si="8">+B99+C99</f>
        <v>926926.34</v>
      </c>
      <c r="E99" s="6">
        <f t="shared" ref="E99:E106" si="9">+D99/$D$3-1</f>
        <v>-7.307366000000004E-2</v>
      </c>
      <c r="G99" s="16">
        <v>602.29999999999995</v>
      </c>
    </row>
    <row r="100" spans="1:7" ht="15" thickBot="1">
      <c r="A100" s="11">
        <f>+Precios!A102</f>
        <v>46114</v>
      </c>
      <c r="B100" s="2">
        <f>+SUM(Value!F104:XFD104)</f>
        <v>399552.64</v>
      </c>
      <c r="C100" s="2">
        <f>+Value!D104</f>
        <v>534027.94000000006</v>
      </c>
      <c r="D100" s="2">
        <f t="shared" si="8"/>
        <v>933580.58000000007</v>
      </c>
      <c r="E100" s="6">
        <f t="shared" si="9"/>
        <v>-6.6419419999999896E-2</v>
      </c>
      <c r="G100" s="16">
        <v>602.99</v>
      </c>
    </row>
    <row r="101" spans="1:7" ht="15" thickBot="1">
      <c r="A101" s="11">
        <f>+Precios!A103</f>
        <v>46115</v>
      </c>
      <c r="B101" s="2">
        <f>+SUM(Value!F105:XFD105)</f>
        <v>398285.28000000009</v>
      </c>
      <c r="C101" s="2">
        <f>+Value!D105</f>
        <v>683988.01</v>
      </c>
      <c r="D101" s="2">
        <f t="shared" si="8"/>
        <v>1082273.29</v>
      </c>
      <c r="E101" s="6">
        <f t="shared" si="9"/>
        <v>8.2273290000000054E-2</v>
      </c>
      <c r="G101" s="16">
        <v>605.66999999999996</v>
      </c>
    </row>
    <row r="102" spans="1:7" ht="15" thickBot="1">
      <c r="A102" s="11">
        <f>+Precios!A104</f>
        <v>46118</v>
      </c>
      <c r="B102" s="2">
        <f>+SUM(Value!F106:XFD106)</f>
        <v>499899.28000000014</v>
      </c>
      <c r="C102" s="2">
        <f>+Value!D106</f>
        <v>533988.01</v>
      </c>
      <c r="D102" s="2">
        <f t="shared" si="8"/>
        <v>1033887.2900000002</v>
      </c>
      <c r="E102" s="6">
        <f t="shared" si="9"/>
        <v>3.3887290000000236E-2</v>
      </c>
      <c r="G102" s="16">
        <v>605.66999999999996</v>
      </c>
    </row>
    <row r="103" spans="1:7" ht="15" thickBot="1">
      <c r="A103" s="11">
        <f>+Precios!A105</f>
        <v>46119</v>
      </c>
      <c r="B103" s="2">
        <f>+SUM(Value!F107:XFD107)</f>
        <v>502005.32000000007</v>
      </c>
      <c r="C103" s="2">
        <f>+Value!D107</f>
        <v>529828.01</v>
      </c>
      <c r="D103" s="2">
        <f t="shared" si="8"/>
        <v>1031833.3300000001</v>
      </c>
      <c r="E103" s="6">
        <f t="shared" si="9"/>
        <v>3.1833329999999993E-2</v>
      </c>
      <c r="G103" s="16">
        <v>606.04</v>
      </c>
    </row>
    <row r="104" spans="1:7" ht="15" thickBot="1">
      <c r="A104" s="11">
        <f>+Precios!A106</f>
        <v>46120</v>
      </c>
      <c r="B104" s="2">
        <f>+SUM(Value!F108:XFD108)</f>
        <v>514833.57999999996</v>
      </c>
      <c r="C104" s="2">
        <f>+Value!D108</f>
        <v>579828.01</v>
      </c>
      <c r="D104" s="2">
        <f t="shared" si="8"/>
        <v>1094661.5899999999</v>
      </c>
      <c r="E104" s="6">
        <f t="shared" si="9"/>
        <v>9.4661589999999851E-2</v>
      </c>
      <c r="G104" s="16">
        <v>621.34</v>
      </c>
    </row>
    <row r="105" spans="1:7" ht="15" thickBot="1">
      <c r="A105" s="11">
        <f>+Precios!A107</f>
        <v>46121</v>
      </c>
      <c r="B105" s="2">
        <f>+SUM(Value!F109:XFD109)</f>
        <v>575710.5199999999</v>
      </c>
      <c r="C105" s="2">
        <f>+Value!D109</f>
        <v>529828.01</v>
      </c>
      <c r="D105" s="2">
        <f t="shared" si="8"/>
        <v>1105538.5299999998</v>
      </c>
      <c r="E105" s="6">
        <f t="shared" si="9"/>
        <v>0.1055385299999998</v>
      </c>
      <c r="G105" s="16">
        <v>625.02</v>
      </c>
    </row>
    <row r="106" spans="1:7" ht="15" thickBot="1">
      <c r="A106" s="11">
        <f>+Precios!A108</f>
        <v>46122</v>
      </c>
      <c r="B106" s="2">
        <f>+SUM(Value!F110:XFD110)</f>
        <v>629830.00000000023</v>
      </c>
      <c r="C106" s="2">
        <f>+Value!D110</f>
        <v>479828.01</v>
      </c>
      <c r="D106" s="2">
        <f t="shared" si="8"/>
        <v>1109658.0100000002</v>
      </c>
      <c r="E106" s="6">
        <f t="shared" si="9"/>
        <v>0.10965801000000019</v>
      </c>
      <c r="G106" s="16">
        <v>624.6</v>
      </c>
    </row>
    <row r="107" spans="1:7" ht="15" thickBot="1">
      <c r="A107" s="11">
        <f>+Precios!A109</f>
        <v>46125</v>
      </c>
      <c r="B107" s="2">
        <f>+SUM(Value!F111:XFD111)</f>
        <v>651680.03</v>
      </c>
      <c r="C107" s="2">
        <f>+Value!D111</f>
        <v>480670.49</v>
      </c>
      <c r="D107" s="2">
        <f t="shared" ref="D107:D111" si="10">+B107+C107</f>
        <v>1132350.52</v>
      </c>
      <c r="E107" s="6">
        <f t="shared" ref="E107:E111" si="11">+D107/$D$3-1</f>
        <v>0.13235051999999992</v>
      </c>
      <c r="G107" s="16">
        <v>630.72</v>
      </c>
    </row>
    <row r="108" spans="1:7" ht="15" thickBot="1">
      <c r="A108" s="11">
        <f>+Precios!A110</f>
        <v>46126</v>
      </c>
      <c r="B108" s="2">
        <f>+SUM(Value!F112:XFD112)</f>
        <v>632958.7699999999</v>
      </c>
      <c r="C108" s="2">
        <f>+Value!D112</f>
        <v>507580.76</v>
      </c>
      <c r="D108" s="2">
        <f t="shared" si="10"/>
        <v>1140539.5299999998</v>
      </c>
      <c r="E108" s="6">
        <f t="shared" si="11"/>
        <v>0.14053952999999986</v>
      </c>
      <c r="G108" s="16">
        <v>638.35</v>
      </c>
    </row>
    <row r="109" spans="1:7" ht="15" thickBot="1">
      <c r="A109" s="11">
        <f>+Precios!A111</f>
        <v>46127</v>
      </c>
      <c r="B109" s="2">
        <f>+SUM(Value!F113:XFD113)</f>
        <v>665652.41999999993</v>
      </c>
      <c r="C109" s="2">
        <f>+Value!D113</f>
        <v>477368.85549999995</v>
      </c>
      <c r="D109" s="2">
        <f t="shared" si="10"/>
        <v>1143021.2755</v>
      </c>
      <c r="E109" s="6">
        <f t="shared" si="11"/>
        <v>0.14302127549999999</v>
      </c>
      <c r="G109" s="16">
        <v>643.45000000000005</v>
      </c>
    </row>
    <row r="110" spans="1:7" ht="15" thickBot="1">
      <c r="A110" s="11">
        <f>+Precios!A112</f>
        <v>46128</v>
      </c>
      <c r="B110" s="2">
        <f>+SUM(Value!F114:XFD114)</f>
        <v>647910.42000000004</v>
      </c>
      <c r="C110" s="2">
        <f>+Value!D114</f>
        <v>502410.26549999986</v>
      </c>
      <c r="D110" s="2">
        <f t="shared" si="10"/>
        <v>1150320.6854999999</v>
      </c>
      <c r="E110" s="6">
        <f t="shared" si="11"/>
        <v>0.15032068549999988</v>
      </c>
      <c r="G110" s="16">
        <v>644.86</v>
      </c>
    </row>
    <row r="111" spans="1:7" ht="15" thickBot="1">
      <c r="A111" s="11">
        <f>+Precios!A113</f>
        <v>46129</v>
      </c>
      <c r="B111" s="2">
        <f>+SUM(Value!F115:XFD115)</f>
        <v>653084.26999999979</v>
      </c>
      <c r="C111" s="2">
        <f>+Value!D115</f>
        <v>514717.75549999985</v>
      </c>
      <c r="D111" s="2">
        <f t="shared" si="10"/>
        <v>1167802.0254999995</v>
      </c>
      <c r="E111" s="6">
        <f t="shared" si="11"/>
        <v>0.16780202549999945</v>
      </c>
      <c r="G111" s="16">
        <v>652.78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9275-C8E2-416D-BDE1-4BABC518BDC8}">
  <dimension ref="A1:DA967"/>
  <sheetViews>
    <sheetView zoomScale="70" zoomScaleNormal="7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19" sqref="A19"/>
    </sheetView>
  </sheetViews>
  <sheetFormatPr baseColWidth="10" defaultRowHeight="14.25"/>
  <sheetData>
    <row r="1" spans="1:73" ht="15" thickBot="1">
      <c r="A1" s="12" t="s">
        <v>36</v>
      </c>
      <c r="B1" s="13">
        <v>45985</v>
      </c>
      <c r="C1" s="13">
        <v>45993</v>
      </c>
      <c r="D1" s="13">
        <v>46001</v>
      </c>
      <c r="E1" s="13">
        <v>46003</v>
      </c>
      <c r="F1" s="13">
        <v>46002</v>
      </c>
      <c r="G1" s="13">
        <v>46000</v>
      </c>
      <c r="H1" s="13">
        <v>45981</v>
      </c>
      <c r="I1" s="13">
        <v>45979</v>
      </c>
      <c r="J1" s="13">
        <v>45982</v>
      </c>
      <c r="K1" s="13">
        <v>45981</v>
      </c>
      <c r="L1" s="13">
        <v>45980</v>
      </c>
      <c r="M1" s="13">
        <v>45985</v>
      </c>
      <c r="N1" s="13">
        <v>45979</v>
      </c>
      <c r="O1" s="13">
        <v>46006</v>
      </c>
      <c r="P1" s="13">
        <v>46009</v>
      </c>
      <c r="Q1" s="13">
        <v>45981</v>
      </c>
      <c r="R1" s="13">
        <v>45980</v>
      </c>
      <c r="S1" s="13">
        <v>46008</v>
      </c>
      <c r="T1" s="13">
        <v>46036</v>
      </c>
      <c r="U1" s="13">
        <v>46002</v>
      </c>
      <c r="V1" s="13">
        <v>46034</v>
      </c>
      <c r="W1" s="13">
        <v>46036</v>
      </c>
      <c r="X1" s="13">
        <v>46045</v>
      </c>
      <c r="Y1" s="13">
        <v>46042</v>
      </c>
      <c r="Z1" s="13">
        <v>46031</v>
      </c>
      <c r="AA1" s="13">
        <v>45979</v>
      </c>
      <c r="AB1" s="13">
        <v>45981</v>
      </c>
      <c r="AC1" s="13">
        <v>45981</v>
      </c>
      <c r="AD1" s="13">
        <v>46001</v>
      </c>
      <c r="AE1" s="13">
        <v>46002</v>
      </c>
      <c r="AF1" s="13">
        <v>46002</v>
      </c>
      <c r="AG1" s="13">
        <v>46030</v>
      </c>
      <c r="AH1" s="13">
        <v>46036</v>
      </c>
      <c r="AI1" s="13">
        <v>46031</v>
      </c>
      <c r="AJ1" s="13">
        <v>46042</v>
      </c>
      <c r="AK1" s="13">
        <v>46043</v>
      </c>
      <c r="AL1" s="32">
        <v>46043</v>
      </c>
      <c r="AM1" s="13">
        <v>46050</v>
      </c>
      <c r="AN1" s="13">
        <v>46056</v>
      </c>
      <c r="AO1" s="32">
        <v>46058</v>
      </c>
      <c r="AP1" s="32">
        <v>46059</v>
      </c>
      <c r="AQ1" s="32">
        <v>46059</v>
      </c>
      <c r="AR1" s="32">
        <v>46063</v>
      </c>
      <c r="AS1" s="32">
        <v>46064</v>
      </c>
      <c r="AT1" s="32">
        <v>46065</v>
      </c>
      <c r="AU1" s="32">
        <v>46070</v>
      </c>
      <c r="AV1" s="32">
        <v>46071</v>
      </c>
      <c r="AW1" s="32">
        <v>46071</v>
      </c>
      <c r="AX1" s="32">
        <v>46071</v>
      </c>
      <c r="AY1" s="32">
        <v>46072</v>
      </c>
      <c r="AZ1" s="32">
        <v>46072</v>
      </c>
      <c r="BA1" s="32">
        <v>46073</v>
      </c>
      <c r="BB1" s="32">
        <v>46079</v>
      </c>
      <c r="BC1" s="32">
        <v>46084</v>
      </c>
      <c r="BD1" s="32">
        <v>46086</v>
      </c>
      <c r="BE1" s="32">
        <v>46090</v>
      </c>
      <c r="BF1" s="32">
        <v>46090</v>
      </c>
      <c r="BG1" s="32">
        <v>46093</v>
      </c>
      <c r="BH1" s="32">
        <v>46097</v>
      </c>
      <c r="BI1" s="32">
        <v>46100</v>
      </c>
      <c r="BJ1" s="32">
        <v>46112</v>
      </c>
      <c r="BK1" s="32">
        <v>46112</v>
      </c>
      <c r="BL1" s="32">
        <v>46112</v>
      </c>
      <c r="BM1" s="32">
        <v>46113</v>
      </c>
      <c r="BN1" s="32">
        <v>46113</v>
      </c>
      <c r="BO1" s="32">
        <v>46118</v>
      </c>
      <c r="BP1" s="32">
        <v>46118</v>
      </c>
      <c r="BQ1" s="32">
        <v>46118</v>
      </c>
      <c r="BR1" s="32">
        <v>46121</v>
      </c>
      <c r="BS1" s="32">
        <v>46122</v>
      </c>
      <c r="BT1" s="32">
        <v>46125</v>
      </c>
      <c r="BU1" s="32">
        <v>46127</v>
      </c>
    </row>
    <row r="2" spans="1:73" ht="15" thickBot="1">
      <c r="A2" s="12" t="s">
        <v>24</v>
      </c>
      <c r="B2" s="13">
        <v>45995</v>
      </c>
      <c r="C2" s="13">
        <v>45995</v>
      </c>
      <c r="D2" s="13">
        <v>46003</v>
      </c>
      <c r="E2" s="13">
        <v>46003</v>
      </c>
      <c r="F2" s="13">
        <v>46003</v>
      </c>
      <c r="G2" s="13">
        <v>46003</v>
      </c>
      <c r="H2" s="13">
        <v>46006</v>
      </c>
      <c r="I2" s="13">
        <v>46006</v>
      </c>
      <c r="J2" s="13">
        <v>46007</v>
      </c>
      <c r="K2" s="13">
        <v>46007</v>
      </c>
      <c r="L2" s="13">
        <v>46007</v>
      </c>
      <c r="M2" s="13">
        <v>46008</v>
      </c>
      <c r="N2" s="13">
        <v>46008</v>
      </c>
      <c r="O2" s="13">
        <v>46024</v>
      </c>
      <c r="P2" s="13">
        <v>46029</v>
      </c>
      <c r="Q2" s="13">
        <v>46031</v>
      </c>
      <c r="R2" s="13">
        <v>46031</v>
      </c>
      <c r="S2" s="13">
        <v>46035</v>
      </c>
      <c r="T2" s="13">
        <v>46042</v>
      </c>
      <c r="U2" s="13">
        <v>46043</v>
      </c>
      <c r="V2" s="13">
        <v>46049</v>
      </c>
      <c r="W2" s="13">
        <v>46050</v>
      </c>
      <c r="X2" s="13">
        <v>46050</v>
      </c>
      <c r="Y2" s="13">
        <v>46052</v>
      </c>
      <c r="Z2" s="13">
        <v>46052</v>
      </c>
      <c r="AA2" s="13">
        <v>46057</v>
      </c>
      <c r="AB2" s="13">
        <v>46057</v>
      </c>
      <c r="AC2" s="13">
        <v>46057</v>
      </c>
      <c r="AD2" s="13">
        <v>46057</v>
      </c>
      <c r="AE2" s="13">
        <v>46057</v>
      </c>
      <c r="AF2" s="13">
        <v>46057</v>
      </c>
      <c r="AG2" s="13">
        <v>46057</v>
      </c>
      <c r="AH2" s="13">
        <v>46057</v>
      </c>
      <c r="AI2" s="13">
        <v>46057</v>
      </c>
      <c r="AJ2" s="13">
        <v>46057</v>
      </c>
      <c r="AK2" s="13">
        <v>46057</v>
      </c>
      <c r="AL2" s="13">
        <v>46058</v>
      </c>
      <c r="AM2" s="13">
        <v>46057</v>
      </c>
      <c r="AN2" s="13">
        <v>46080</v>
      </c>
      <c r="AO2" s="32">
        <v>46058</v>
      </c>
      <c r="AP2" s="32">
        <v>46070</v>
      </c>
      <c r="AQ2" s="32">
        <v>46064</v>
      </c>
      <c r="AR2" s="32">
        <v>46064</v>
      </c>
      <c r="AS2" s="32">
        <v>46070</v>
      </c>
      <c r="AT2" s="32">
        <v>46084</v>
      </c>
      <c r="AU2" s="70"/>
      <c r="AV2" s="32">
        <v>46084</v>
      </c>
      <c r="AW2" s="32">
        <v>46078</v>
      </c>
      <c r="AX2" s="32">
        <v>46084</v>
      </c>
      <c r="AY2" s="32">
        <v>46084</v>
      </c>
      <c r="AZ2" s="32">
        <v>46084</v>
      </c>
      <c r="BA2" s="32">
        <v>46084</v>
      </c>
      <c r="BB2" s="32">
        <v>46121</v>
      </c>
      <c r="BC2" s="32">
        <v>46100</v>
      </c>
      <c r="BD2" s="70"/>
      <c r="BE2" s="32">
        <v>46114</v>
      </c>
      <c r="BF2" s="70"/>
      <c r="BG2" s="32">
        <v>46100</v>
      </c>
      <c r="BH2" s="32">
        <v>46100</v>
      </c>
      <c r="BI2" s="32">
        <v>46105</v>
      </c>
      <c r="BJ2" s="70"/>
      <c r="BK2" s="70"/>
      <c r="BL2" s="32">
        <v>46114</v>
      </c>
      <c r="BM2" s="70"/>
      <c r="BN2" s="70"/>
      <c r="BO2" s="32">
        <v>46119</v>
      </c>
      <c r="BP2" s="70"/>
      <c r="BQ2" s="70"/>
      <c r="BR2" s="70"/>
      <c r="BS2" s="70"/>
      <c r="BT2" s="70"/>
      <c r="BU2" s="70"/>
    </row>
    <row r="3" spans="1:73" s="20" customFormat="1" ht="15" thickBot="1">
      <c r="A3" s="16" t="s">
        <v>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7"/>
      <c r="AL3" s="17"/>
      <c r="AM3" s="16"/>
      <c r="AN3" s="16"/>
      <c r="AO3" s="17"/>
      <c r="AP3" s="17"/>
      <c r="AQ3" s="17"/>
      <c r="AR3" s="17"/>
      <c r="AS3" s="17"/>
      <c r="AT3" s="17"/>
      <c r="AU3" s="17">
        <v>4039</v>
      </c>
      <c r="AV3" s="17"/>
      <c r="AW3" s="17"/>
      <c r="AX3" s="17"/>
      <c r="AY3" s="17"/>
      <c r="AZ3" s="17"/>
      <c r="BA3" s="17"/>
      <c r="BB3" s="17"/>
      <c r="BC3" s="17"/>
      <c r="BD3" s="17">
        <v>14286</v>
      </c>
      <c r="BE3" s="17"/>
      <c r="BF3" s="17">
        <v>1633</v>
      </c>
      <c r="BG3" s="17"/>
      <c r="BH3" s="17"/>
      <c r="BI3" s="17"/>
      <c r="BJ3" s="17">
        <v>527</v>
      </c>
      <c r="BK3" s="17">
        <v>321</v>
      </c>
      <c r="BL3" s="17"/>
      <c r="BM3" s="17">
        <v>3693</v>
      </c>
      <c r="BN3" s="17">
        <v>2588</v>
      </c>
      <c r="BO3" s="17"/>
      <c r="BP3" s="17">
        <v>3243</v>
      </c>
      <c r="BQ3" s="17">
        <v>5405</v>
      </c>
      <c r="BR3" s="17">
        <v>7942</v>
      </c>
      <c r="BS3" s="17">
        <v>328</v>
      </c>
      <c r="BT3" s="17">
        <v>586</v>
      </c>
      <c r="BU3" s="17">
        <v>1027</v>
      </c>
    </row>
    <row r="4" spans="1:73" ht="15" thickBot="1">
      <c r="A4" s="1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7"/>
      <c r="AM4" s="16"/>
      <c r="AN4" s="16"/>
      <c r="AO4" s="17"/>
      <c r="AP4" s="17"/>
      <c r="AQ4" s="17"/>
      <c r="AR4" s="17"/>
      <c r="AS4" s="17"/>
      <c r="AT4" s="17"/>
      <c r="AU4" s="17" t="s">
        <v>20</v>
      </c>
      <c r="AV4" s="17"/>
      <c r="AW4" s="17"/>
      <c r="AX4" s="17"/>
      <c r="AY4" s="17"/>
      <c r="AZ4" s="17"/>
      <c r="BA4" s="17"/>
      <c r="BB4" s="17"/>
      <c r="BC4" s="17"/>
      <c r="BD4" s="17" t="s">
        <v>21</v>
      </c>
      <c r="BE4" s="17"/>
      <c r="BF4" s="17" t="s">
        <v>32</v>
      </c>
      <c r="BG4" s="17"/>
      <c r="BH4" s="17"/>
      <c r="BI4" s="17"/>
      <c r="BJ4" s="17" t="s">
        <v>34</v>
      </c>
      <c r="BK4" s="17" t="s">
        <v>31</v>
      </c>
      <c r="BL4" s="17"/>
      <c r="BM4" s="17" t="s">
        <v>33</v>
      </c>
      <c r="BN4" s="17" t="s">
        <v>30</v>
      </c>
      <c r="BO4" s="17"/>
      <c r="BP4" s="17" t="s">
        <v>11</v>
      </c>
      <c r="BQ4" s="17" t="s">
        <v>37</v>
      </c>
      <c r="BR4" s="17" t="s">
        <v>10</v>
      </c>
      <c r="BS4" s="17" t="s">
        <v>38</v>
      </c>
      <c r="BT4" s="17" t="s">
        <v>43</v>
      </c>
      <c r="BU4" s="17" t="s">
        <v>45</v>
      </c>
    </row>
    <row r="5" spans="1:73" ht="15" thickBot="1">
      <c r="A5" s="15">
        <v>45979</v>
      </c>
      <c r="B5" s="12"/>
      <c r="C5" s="12"/>
      <c r="D5" s="12"/>
      <c r="E5" s="12"/>
      <c r="F5" s="12"/>
      <c r="G5" s="12"/>
      <c r="H5" s="12"/>
      <c r="I5" s="17">
        <v>7.87</v>
      </c>
      <c r="J5" s="12"/>
      <c r="K5" s="12"/>
      <c r="L5" s="12"/>
      <c r="M5" s="12"/>
      <c r="N5" s="17">
        <v>19.71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6">
        <v>4.32</v>
      </c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</row>
    <row r="6" spans="1:73" ht="15" thickBot="1">
      <c r="A6" s="15">
        <v>45980</v>
      </c>
      <c r="B6" s="12"/>
      <c r="C6" s="12"/>
      <c r="D6" s="12"/>
      <c r="E6" s="12"/>
      <c r="F6" s="12"/>
      <c r="G6" s="12"/>
      <c r="H6" s="12"/>
      <c r="I6" s="16">
        <v>8.23</v>
      </c>
      <c r="J6" s="12"/>
      <c r="K6" s="12"/>
      <c r="L6" s="17">
        <v>83.4</v>
      </c>
      <c r="M6" s="12"/>
      <c r="N6" s="16">
        <v>18.95</v>
      </c>
      <c r="O6" s="12"/>
      <c r="P6" s="12"/>
      <c r="Q6" s="12"/>
      <c r="R6" s="17">
        <v>4.21</v>
      </c>
      <c r="S6" s="12"/>
      <c r="T6" s="12"/>
      <c r="U6" s="12"/>
      <c r="V6" s="12"/>
      <c r="W6" s="12"/>
      <c r="X6" s="12"/>
      <c r="Y6" s="12"/>
      <c r="Z6" s="12"/>
      <c r="AA6" s="16">
        <v>4.25</v>
      </c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</row>
    <row r="7" spans="1:73" ht="15" thickBot="1">
      <c r="A7" s="15">
        <v>45981</v>
      </c>
      <c r="B7" s="12"/>
      <c r="C7" s="12"/>
      <c r="D7" s="12"/>
      <c r="E7" s="12"/>
      <c r="F7" s="12"/>
      <c r="G7" s="12"/>
      <c r="H7" s="17">
        <v>20.399999999999999</v>
      </c>
      <c r="I7" s="16">
        <v>7.44</v>
      </c>
      <c r="J7" s="12"/>
      <c r="K7" s="17">
        <v>30.34</v>
      </c>
      <c r="L7" s="17">
        <v>85.65</v>
      </c>
      <c r="M7" s="12"/>
      <c r="N7" s="16">
        <v>17.809999999999999</v>
      </c>
      <c r="O7" s="12"/>
      <c r="P7" s="12"/>
      <c r="Q7" s="17">
        <v>4.21</v>
      </c>
      <c r="R7" s="16">
        <v>3.99</v>
      </c>
      <c r="S7" s="12"/>
      <c r="T7" s="12"/>
      <c r="U7" s="12"/>
      <c r="V7" s="12"/>
      <c r="W7" s="12"/>
      <c r="X7" s="12"/>
      <c r="Y7" s="12"/>
      <c r="Z7" s="12"/>
      <c r="AA7" s="16">
        <v>4.2</v>
      </c>
      <c r="AB7" s="17">
        <v>74.69</v>
      </c>
      <c r="AC7" s="17">
        <v>7.65</v>
      </c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</row>
    <row r="8" spans="1:73" ht="15" thickBot="1">
      <c r="A8" s="15">
        <v>45982</v>
      </c>
      <c r="B8" s="12"/>
      <c r="C8" s="12"/>
      <c r="D8" s="12"/>
      <c r="E8" s="12"/>
      <c r="F8" s="12"/>
      <c r="G8" s="12"/>
      <c r="H8" s="16">
        <v>17.93</v>
      </c>
      <c r="I8" s="16">
        <v>7.09</v>
      </c>
      <c r="J8" s="17">
        <v>92.83</v>
      </c>
      <c r="K8" s="17">
        <v>31.42</v>
      </c>
      <c r="L8" s="16">
        <v>93.55</v>
      </c>
      <c r="M8" s="12"/>
      <c r="N8" s="16">
        <v>17.93</v>
      </c>
      <c r="O8" s="12"/>
      <c r="P8" s="12"/>
      <c r="Q8" s="16">
        <v>4.1900000000000004</v>
      </c>
      <c r="R8" s="16">
        <v>4.1900000000000004</v>
      </c>
      <c r="S8" s="12"/>
      <c r="T8" s="12"/>
      <c r="U8" s="12"/>
      <c r="V8" s="12"/>
      <c r="W8" s="12"/>
      <c r="X8" s="12"/>
      <c r="Y8" s="12"/>
      <c r="Z8" s="12"/>
      <c r="AA8" s="16">
        <v>4.2699999999999996</v>
      </c>
      <c r="AB8" s="16">
        <v>67.349999999999994</v>
      </c>
      <c r="AC8" s="16">
        <v>6.74</v>
      </c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</row>
    <row r="9" spans="1:73" ht="15" thickBot="1">
      <c r="A9" s="15">
        <v>45985</v>
      </c>
      <c r="B9" s="19">
        <v>311</v>
      </c>
      <c r="C9" s="12"/>
      <c r="D9" s="12"/>
      <c r="E9" s="12"/>
      <c r="F9" s="12"/>
      <c r="G9" s="12"/>
      <c r="H9" s="16">
        <v>18.09</v>
      </c>
      <c r="I9" s="16">
        <v>7.49</v>
      </c>
      <c r="J9" s="16">
        <v>111.4</v>
      </c>
      <c r="K9" s="17">
        <v>31.4</v>
      </c>
      <c r="L9" s="16">
        <v>111.4</v>
      </c>
      <c r="M9" s="17">
        <v>2</v>
      </c>
      <c r="N9" s="16">
        <v>18.09</v>
      </c>
      <c r="O9" s="12"/>
      <c r="P9" s="12"/>
      <c r="Q9" s="16">
        <v>4.42</v>
      </c>
      <c r="R9" s="16">
        <v>4.42</v>
      </c>
      <c r="S9" s="12"/>
      <c r="T9" s="12"/>
      <c r="U9" s="12"/>
      <c r="V9" s="12"/>
      <c r="W9" s="12"/>
      <c r="X9" s="12"/>
      <c r="Y9" s="12"/>
      <c r="Z9" s="12"/>
      <c r="AA9" s="16">
        <v>4.63</v>
      </c>
      <c r="AB9" s="16">
        <v>73</v>
      </c>
      <c r="AC9" s="16">
        <v>8.7200000000000006</v>
      </c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</row>
    <row r="10" spans="1:73" ht="15" thickBot="1">
      <c r="A10" s="15">
        <v>45986</v>
      </c>
      <c r="B10" s="16">
        <v>323.64</v>
      </c>
      <c r="C10" s="12"/>
      <c r="D10" s="12"/>
      <c r="E10" s="12"/>
      <c r="F10" s="12"/>
      <c r="G10" s="12"/>
      <c r="H10" s="16">
        <v>18.649999999999999</v>
      </c>
      <c r="I10" s="16">
        <v>7.39</v>
      </c>
      <c r="J10" s="16">
        <v>107.69</v>
      </c>
      <c r="K10" s="17">
        <v>31.51</v>
      </c>
      <c r="L10" s="16">
        <v>107.69</v>
      </c>
      <c r="M10" s="16">
        <v>2.04</v>
      </c>
      <c r="N10" s="16">
        <v>18.649999999999999</v>
      </c>
      <c r="O10" s="12"/>
      <c r="P10" s="12"/>
      <c r="Q10" s="16">
        <v>4.59</v>
      </c>
      <c r="R10" s="16">
        <v>4.59</v>
      </c>
      <c r="S10" s="12"/>
      <c r="T10" s="12"/>
      <c r="U10" s="12"/>
      <c r="V10" s="12"/>
      <c r="W10" s="12"/>
      <c r="X10" s="12"/>
      <c r="Y10" s="12"/>
      <c r="Z10" s="12"/>
      <c r="AA10" s="16">
        <v>4.67</v>
      </c>
      <c r="AB10" s="16">
        <v>74</v>
      </c>
      <c r="AC10" s="16">
        <v>8.44</v>
      </c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</row>
    <row r="11" spans="1:73" ht="15" thickBot="1">
      <c r="A11" s="15">
        <v>45987</v>
      </c>
      <c r="B11" s="16">
        <v>320.27999999999997</v>
      </c>
      <c r="C11" s="12"/>
      <c r="D11" s="12"/>
      <c r="E11" s="12"/>
      <c r="F11" s="12"/>
      <c r="G11" s="12"/>
      <c r="H11" s="16">
        <v>19.23</v>
      </c>
      <c r="I11" s="16">
        <v>7.68</v>
      </c>
      <c r="J11" s="16">
        <v>110.16</v>
      </c>
      <c r="K11" s="17">
        <v>30.86</v>
      </c>
      <c r="L11" s="16">
        <v>110.16</v>
      </c>
      <c r="M11" s="16">
        <v>2.08</v>
      </c>
      <c r="N11" s="16">
        <v>19.23</v>
      </c>
      <c r="O11" s="12"/>
      <c r="P11" s="12"/>
      <c r="Q11" s="16">
        <v>4.8600000000000003</v>
      </c>
      <c r="R11" s="16">
        <v>4.8600000000000003</v>
      </c>
      <c r="S11" s="12"/>
      <c r="T11" s="12"/>
      <c r="U11" s="12"/>
      <c r="V11" s="12"/>
      <c r="W11" s="12"/>
      <c r="X11" s="12"/>
      <c r="Y11" s="12"/>
      <c r="Z11" s="12"/>
      <c r="AA11" s="16">
        <v>4.84</v>
      </c>
      <c r="AB11" s="16">
        <v>77.53</v>
      </c>
      <c r="AC11" s="16">
        <v>8.24</v>
      </c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</row>
    <row r="12" spans="1:73" ht="15" thickBot="1">
      <c r="A12" s="15">
        <v>45988</v>
      </c>
      <c r="B12" s="16">
        <v>320.12</v>
      </c>
      <c r="C12" s="12"/>
      <c r="D12" s="12"/>
      <c r="E12" s="12"/>
      <c r="F12" s="12"/>
      <c r="G12" s="12"/>
      <c r="H12" s="16">
        <v>20.25</v>
      </c>
      <c r="I12" s="16">
        <v>7.67</v>
      </c>
      <c r="J12" s="16">
        <v>110.39</v>
      </c>
      <c r="K12" s="17">
        <v>31.34</v>
      </c>
      <c r="L12" s="16">
        <v>110.39</v>
      </c>
      <c r="M12" s="16">
        <v>2.15</v>
      </c>
      <c r="N12" s="16">
        <v>20.25</v>
      </c>
      <c r="O12" s="12"/>
      <c r="P12" s="12"/>
      <c r="Q12" s="16">
        <v>4.74</v>
      </c>
      <c r="R12" s="16">
        <v>4.74</v>
      </c>
      <c r="S12" s="12"/>
      <c r="T12" s="12"/>
      <c r="U12" s="12"/>
      <c r="V12" s="12"/>
      <c r="W12" s="12"/>
      <c r="X12" s="12"/>
      <c r="Y12" s="12"/>
      <c r="Z12" s="12"/>
      <c r="AA12" s="16">
        <v>4.95</v>
      </c>
      <c r="AB12" s="16">
        <v>78.12</v>
      </c>
      <c r="AC12" s="16">
        <v>7.9</v>
      </c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</row>
    <row r="13" spans="1:73" ht="15" thickBot="1">
      <c r="A13" s="15">
        <v>45989</v>
      </c>
      <c r="B13" s="16">
        <v>320.12</v>
      </c>
      <c r="C13" s="12"/>
      <c r="D13" s="12"/>
      <c r="E13" s="12"/>
      <c r="F13" s="12"/>
      <c r="G13" s="12"/>
      <c r="H13" s="16">
        <v>20.25</v>
      </c>
      <c r="I13" s="16">
        <v>7.67</v>
      </c>
      <c r="J13" s="16">
        <v>110.39</v>
      </c>
      <c r="K13" s="17">
        <v>31.34</v>
      </c>
      <c r="L13" s="16">
        <v>110.39</v>
      </c>
      <c r="M13" s="16">
        <v>2.15</v>
      </c>
      <c r="N13" s="16">
        <v>20.25</v>
      </c>
      <c r="O13" s="12"/>
      <c r="P13" s="12"/>
      <c r="Q13" s="16">
        <v>4.74</v>
      </c>
      <c r="R13" s="16">
        <v>4.74</v>
      </c>
      <c r="S13" s="12"/>
      <c r="T13" s="12"/>
      <c r="U13" s="12"/>
      <c r="V13" s="12"/>
      <c r="W13" s="12"/>
      <c r="X13" s="12"/>
      <c r="Y13" s="12"/>
      <c r="Z13" s="12"/>
      <c r="AA13" s="16">
        <v>4.95</v>
      </c>
      <c r="AB13" s="16">
        <v>78.12</v>
      </c>
      <c r="AC13" s="16">
        <v>7.9</v>
      </c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</row>
    <row r="14" spans="1:73" ht="15" thickBot="1">
      <c r="A14" s="15">
        <v>45992</v>
      </c>
      <c r="B14" s="16">
        <v>315.12</v>
      </c>
      <c r="C14" s="12"/>
      <c r="D14" s="12"/>
      <c r="E14" s="12"/>
      <c r="F14" s="12"/>
      <c r="G14" s="12"/>
      <c r="H14" s="16">
        <v>18.55</v>
      </c>
      <c r="I14" s="16">
        <v>6.73</v>
      </c>
      <c r="J14" s="16">
        <v>98.27</v>
      </c>
      <c r="K14" s="17">
        <v>29.53</v>
      </c>
      <c r="L14" s="16">
        <v>98.27</v>
      </c>
      <c r="M14" s="16">
        <v>2.09</v>
      </c>
      <c r="N14" s="16">
        <v>18.55</v>
      </c>
      <c r="O14" s="12"/>
      <c r="P14" s="12"/>
      <c r="Q14" s="16">
        <v>4.43</v>
      </c>
      <c r="R14" s="16">
        <v>4.43</v>
      </c>
      <c r="S14" s="12"/>
      <c r="T14" s="12"/>
      <c r="U14" s="12"/>
      <c r="V14" s="12"/>
      <c r="W14" s="12"/>
      <c r="X14" s="12"/>
      <c r="Y14" s="12"/>
      <c r="Z14" s="12"/>
      <c r="AA14" s="16">
        <v>4.6100000000000003</v>
      </c>
      <c r="AB14" s="16">
        <v>75.27</v>
      </c>
      <c r="AC14" s="16">
        <v>7.58</v>
      </c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</row>
    <row r="15" spans="1:73" ht="15" thickBot="1">
      <c r="A15" s="15">
        <v>45993</v>
      </c>
      <c r="B15" s="16">
        <v>316.02</v>
      </c>
      <c r="C15" s="19">
        <v>40.93</v>
      </c>
      <c r="D15" s="12"/>
      <c r="E15" s="12"/>
      <c r="F15" s="12"/>
      <c r="G15" s="12"/>
      <c r="H15" s="16">
        <v>18.18</v>
      </c>
      <c r="I15" s="16">
        <v>6.56</v>
      </c>
      <c r="J15" s="16">
        <v>97.38</v>
      </c>
      <c r="K15" s="17">
        <v>28.44</v>
      </c>
      <c r="L15" s="16">
        <v>97.38</v>
      </c>
      <c r="M15" s="16">
        <v>2.0499999999999998</v>
      </c>
      <c r="N15" s="16">
        <v>18.18</v>
      </c>
      <c r="O15" s="12"/>
      <c r="P15" s="12"/>
      <c r="Q15" s="16">
        <v>4.0599999999999996</v>
      </c>
      <c r="R15" s="16">
        <v>4.0599999999999996</v>
      </c>
      <c r="S15" s="12"/>
      <c r="T15" s="12"/>
      <c r="U15" s="12"/>
      <c r="V15" s="12"/>
      <c r="W15" s="12"/>
      <c r="X15" s="12"/>
      <c r="Y15" s="12"/>
      <c r="Z15" s="12"/>
      <c r="AA15" s="16">
        <v>4.68</v>
      </c>
      <c r="AB15" s="16">
        <v>72.16</v>
      </c>
      <c r="AC15" s="16">
        <v>8.07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</row>
    <row r="16" spans="1:73" ht="15" thickBot="1">
      <c r="A16" s="15">
        <v>45994</v>
      </c>
      <c r="B16" s="16">
        <v>320.62</v>
      </c>
      <c r="C16" s="16">
        <v>43.76</v>
      </c>
      <c r="D16" s="12"/>
      <c r="E16" s="12"/>
      <c r="F16" s="12"/>
      <c r="G16" s="12"/>
      <c r="H16" s="16">
        <v>17.850000000000001</v>
      </c>
      <c r="I16" s="16">
        <v>7.18</v>
      </c>
      <c r="J16" s="16">
        <v>101.19</v>
      </c>
      <c r="K16" s="17">
        <v>30.4</v>
      </c>
      <c r="L16" s="16">
        <v>101.19</v>
      </c>
      <c r="M16" s="16">
        <v>2.29</v>
      </c>
      <c r="N16" s="16">
        <v>17.850000000000001</v>
      </c>
      <c r="O16" s="12"/>
      <c r="P16" s="12"/>
      <c r="Q16" s="16">
        <v>4.49</v>
      </c>
      <c r="R16" s="16">
        <v>4.49</v>
      </c>
      <c r="S16" s="12"/>
      <c r="T16" s="12"/>
      <c r="U16" s="12"/>
      <c r="V16" s="12"/>
      <c r="W16" s="12"/>
      <c r="X16" s="12"/>
      <c r="Y16" s="12"/>
      <c r="Z16" s="12"/>
      <c r="AA16" s="16">
        <v>6.01</v>
      </c>
      <c r="AB16" s="16">
        <v>73.59</v>
      </c>
      <c r="AC16" s="16">
        <v>8.92</v>
      </c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</row>
    <row r="17" spans="1:73" ht="15" thickBot="1">
      <c r="A17" s="15">
        <v>45995</v>
      </c>
      <c r="B17" s="19">
        <v>316</v>
      </c>
      <c r="C17" s="19">
        <v>42.2</v>
      </c>
      <c r="D17" s="12"/>
      <c r="E17" s="12"/>
      <c r="F17" s="12"/>
      <c r="G17" s="12"/>
      <c r="H17" s="16">
        <v>18.350000000000001</v>
      </c>
      <c r="I17" s="16">
        <v>7.84</v>
      </c>
      <c r="J17" s="16">
        <v>104.71</v>
      </c>
      <c r="K17" s="17">
        <v>29.38</v>
      </c>
      <c r="L17" s="16">
        <v>104.71</v>
      </c>
      <c r="M17" s="16">
        <v>2.44</v>
      </c>
      <c r="N17" s="16">
        <v>18.350000000000001</v>
      </c>
      <c r="O17" s="12"/>
      <c r="P17" s="12"/>
      <c r="Q17" s="16">
        <v>5.0599999999999996</v>
      </c>
      <c r="R17" s="16">
        <v>5.0599999999999996</v>
      </c>
      <c r="S17" s="12"/>
      <c r="T17" s="12"/>
      <c r="U17" s="12"/>
      <c r="V17" s="12"/>
      <c r="W17" s="12"/>
      <c r="X17" s="12"/>
      <c r="Y17" s="12"/>
      <c r="Z17" s="12"/>
      <c r="AA17" s="16">
        <v>6.37</v>
      </c>
      <c r="AB17" s="16">
        <v>76.8</v>
      </c>
      <c r="AC17" s="16">
        <v>9.19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</row>
    <row r="18" spans="1:73" ht="15" thickBot="1">
      <c r="A18" s="15">
        <v>45996</v>
      </c>
      <c r="B18" s="12"/>
      <c r="C18" s="12"/>
      <c r="D18" s="12"/>
      <c r="E18" s="12"/>
      <c r="F18" s="12"/>
      <c r="G18" s="12"/>
      <c r="H18" s="16">
        <v>17.579999999999998</v>
      </c>
      <c r="I18" s="16">
        <v>7.8</v>
      </c>
      <c r="J18" s="16">
        <v>100.98</v>
      </c>
      <c r="K18" s="17">
        <v>29.38</v>
      </c>
      <c r="L18" s="16">
        <v>100.98</v>
      </c>
      <c r="M18" s="16">
        <v>2.37</v>
      </c>
      <c r="N18" s="16">
        <v>17.579999999999998</v>
      </c>
      <c r="O18" s="12"/>
      <c r="P18" s="12"/>
      <c r="Q18" s="16">
        <v>5.05</v>
      </c>
      <c r="R18" s="16">
        <v>5.05</v>
      </c>
      <c r="S18" s="12"/>
      <c r="T18" s="12"/>
      <c r="U18" s="12"/>
      <c r="V18" s="12"/>
      <c r="W18" s="12"/>
      <c r="X18" s="12"/>
      <c r="Y18" s="12"/>
      <c r="Z18" s="12"/>
      <c r="AA18" s="16">
        <v>6.05</v>
      </c>
      <c r="AB18" s="16">
        <v>78.97</v>
      </c>
      <c r="AC18" s="16">
        <v>9.07</v>
      </c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</row>
    <row r="19" spans="1:73" ht="15" thickBot="1">
      <c r="A19" s="15">
        <v>45999</v>
      </c>
      <c r="B19" s="12"/>
      <c r="C19" s="12"/>
      <c r="D19" s="12"/>
      <c r="E19" s="12"/>
      <c r="F19" s="12"/>
      <c r="G19" s="12"/>
      <c r="H19" s="16">
        <v>18.059999999999999</v>
      </c>
      <c r="I19" s="16">
        <v>8.27</v>
      </c>
      <c r="J19" s="16">
        <v>99.8</v>
      </c>
      <c r="K19" s="17">
        <v>30</v>
      </c>
      <c r="L19" s="16">
        <v>99.8</v>
      </c>
      <c r="M19" s="16">
        <v>2.42</v>
      </c>
      <c r="N19" s="16">
        <v>18.059999999999999</v>
      </c>
      <c r="O19" s="12"/>
      <c r="P19" s="12"/>
      <c r="Q19" s="16">
        <v>5.45</v>
      </c>
      <c r="R19" s="16">
        <v>5.45</v>
      </c>
      <c r="S19" s="12"/>
      <c r="T19" s="12"/>
      <c r="U19" s="12"/>
      <c r="V19" s="12"/>
      <c r="W19" s="12"/>
      <c r="X19" s="12"/>
      <c r="Y19" s="12"/>
      <c r="Z19" s="12"/>
      <c r="AA19" s="16">
        <v>6.23</v>
      </c>
      <c r="AB19" s="16">
        <v>77.17</v>
      </c>
      <c r="AC19" s="16">
        <v>9.02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</row>
    <row r="20" spans="1:73" ht="15" thickBot="1">
      <c r="A20" s="15">
        <v>46000</v>
      </c>
      <c r="B20" s="12"/>
      <c r="C20" s="12"/>
      <c r="D20" s="12"/>
      <c r="E20" s="12"/>
      <c r="F20" s="12"/>
      <c r="G20" s="17">
        <v>15.6</v>
      </c>
      <c r="H20" s="16">
        <v>17.87</v>
      </c>
      <c r="I20" s="16">
        <v>7.91</v>
      </c>
      <c r="J20" s="16">
        <v>97.46</v>
      </c>
      <c r="K20" s="17">
        <v>29</v>
      </c>
      <c r="L20" s="16">
        <v>97.46</v>
      </c>
      <c r="M20" s="16">
        <v>2.4500000000000002</v>
      </c>
      <c r="N20" s="16">
        <v>17.87</v>
      </c>
      <c r="O20" s="12"/>
      <c r="P20" s="12"/>
      <c r="Q20" s="16">
        <v>5.31</v>
      </c>
      <c r="R20" s="16">
        <v>5.31</v>
      </c>
      <c r="S20" s="12"/>
      <c r="T20" s="12"/>
      <c r="U20" s="12"/>
      <c r="V20" s="12"/>
      <c r="W20" s="12"/>
      <c r="X20" s="12"/>
      <c r="Y20" s="12"/>
      <c r="Z20" s="12"/>
      <c r="AA20" s="16">
        <v>6.9</v>
      </c>
      <c r="AB20" s="16">
        <v>79.17</v>
      </c>
      <c r="AC20" s="16">
        <v>9.23</v>
      </c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</row>
    <row r="21" spans="1:73" ht="15" thickBot="1">
      <c r="A21" s="15">
        <v>46001</v>
      </c>
      <c r="B21" s="12"/>
      <c r="C21" s="12"/>
      <c r="D21" s="19">
        <v>2.02</v>
      </c>
      <c r="E21" s="12"/>
      <c r="F21" s="12"/>
      <c r="G21" s="16">
        <v>15.76</v>
      </c>
      <c r="H21" s="16">
        <v>18.32</v>
      </c>
      <c r="I21" s="16">
        <v>8.18</v>
      </c>
      <c r="J21" s="16">
        <v>94.93</v>
      </c>
      <c r="K21" s="17">
        <v>29</v>
      </c>
      <c r="L21" s="16">
        <v>94.93</v>
      </c>
      <c r="M21" s="16">
        <v>2.36</v>
      </c>
      <c r="N21" s="16">
        <v>18.32</v>
      </c>
      <c r="O21" s="12"/>
      <c r="P21" s="12"/>
      <c r="Q21" s="16">
        <v>5.56</v>
      </c>
      <c r="R21" s="16">
        <v>5.56</v>
      </c>
      <c r="S21" s="12"/>
      <c r="T21" s="12"/>
      <c r="U21" s="12"/>
      <c r="V21" s="12"/>
      <c r="W21" s="12"/>
      <c r="X21" s="12"/>
      <c r="Y21" s="12"/>
      <c r="Z21" s="12"/>
      <c r="AA21" s="16">
        <v>7.15</v>
      </c>
      <c r="AB21" s="16">
        <v>78.37</v>
      </c>
      <c r="AC21" s="16">
        <v>8.32</v>
      </c>
      <c r="AD21" s="17">
        <v>34.4</v>
      </c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</row>
    <row r="22" spans="1:73" ht="15" thickBot="1">
      <c r="A22" s="15">
        <v>46002</v>
      </c>
      <c r="B22" s="12"/>
      <c r="C22" s="12"/>
      <c r="D22" s="16">
        <v>2.2000000000000002</v>
      </c>
      <c r="E22" s="12"/>
      <c r="F22" s="17">
        <v>117</v>
      </c>
      <c r="G22" s="16">
        <v>15.83</v>
      </c>
      <c r="H22" s="16">
        <v>18.71</v>
      </c>
      <c r="I22" s="16">
        <v>8.36</v>
      </c>
      <c r="J22" s="16">
        <v>95.06</v>
      </c>
      <c r="K22" s="17">
        <v>29</v>
      </c>
      <c r="L22" s="16">
        <v>95.06</v>
      </c>
      <c r="M22" s="16">
        <v>2.3199999999999998</v>
      </c>
      <c r="N22" s="16">
        <v>18.71</v>
      </c>
      <c r="O22" s="12"/>
      <c r="P22" s="12"/>
      <c r="Q22" s="16">
        <v>5.76</v>
      </c>
      <c r="R22" s="16">
        <v>5.76</v>
      </c>
      <c r="S22" s="12"/>
      <c r="T22" s="12"/>
      <c r="U22" s="17">
        <v>16</v>
      </c>
      <c r="V22" s="12"/>
      <c r="W22" s="12"/>
      <c r="X22" s="12"/>
      <c r="Y22" s="12"/>
      <c r="Z22" s="12"/>
      <c r="AA22" s="16">
        <v>7.22</v>
      </c>
      <c r="AB22" s="16">
        <v>82.01</v>
      </c>
      <c r="AC22" s="16">
        <v>9.02</v>
      </c>
      <c r="AD22" s="16">
        <v>39.67</v>
      </c>
      <c r="AE22" s="17">
        <v>16</v>
      </c>
      <c r="AF22" s="17">
        <v>24</v>
      </c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</row>
    <row r="23" spans="1:73" ht="15" thickBot="1">
      <c r="A23" s="15">
        <v>46003</v>
      </c>
      <c r="B23" s="12"/>
      <c r="C23" s="12"/>
      <c r="D23" s="17">
        <v>2.1</v>
      </c>
      <c r="E23" s="16">
        <v>10.06</v>
      </c>
      <c r="F23" s="17">
        <v>111.68</v>
      </c>
      <c r="G23" s="17">
        <v>14.45</v>
      </c>
      <c r="H23" s="16">
        <v>17.93</v>
      </c>
      <c r="I23" s="16">
        <v>8.7799999999999994</v>
      </c>
      <c r="J23" s="16">
        <v>90.82</v>
      </c>
      <c r="K23" s="17">
        <v>31</v>
      </c>
      <c r="L23" s="16">
        <v>90.82</v>
      </c>
      <c r="M23" s="16">
        <v>2.17</v>
      </c>
      <c r="N23" s="16">
        <v>17.93</v>
      </c>
      <c r="O23" s="12"/>
      <c r="P23" s="12"/>
      <c r="Q23" s="16">
        <v>5.79</v>
      </c>
      <c r="R23" s="16">
        <v>5.79</v>
      </c>
      <c r="S23" s="12"/>
      <c r="T23" s="12"/>
      <c r="U23" s="16">
        <v>18.239999999999998</v>
      </c>
      <c r="V23" s="12"/>
      <c r="W23" s="12"/>
      <c r="X23" s="12"/>
      <c r="Y23" s="12"/>
      <c r="Z23" s="12"/>
      <c r="AA23" s="16">
        <v>6.5</v>
      </c>
      <c r="AB23" s="16">
        <v>77.849999999999994</v>
      </c>
      <c r="AC23" s="16">
        <v>8.75</v>
      </c>
      <c r="AD23" s="16">
        <v>36.31</v>
      </c>
      <c r="AE23" s="16">
        <v>18.239999999999998</v>
      </c>
      <c r="AF23" s="16">
        <v>26.42</v>
      </c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</row>
    <row r="24" spans="1:73" ht="15" thickBot="1">
      <c r="A24" s="15">
        <v>46006</v>
      </c>
      <c r="B24" s="12"/>
      <c r="C24" s="12"/>
      <c r="D24" s="12"/>
      <c r="E24" s="12"/>
      <c r="F24" s="12"/>
      <c r="G24" s="12"/>
      <c r="H24" s="17">
        <v>17.350000000000001</v>
      </c>
      <c r="I24" s="17">
        <v>11.33</v>
      </c>
      <c r="J24" s="16">
        <v>91.04</v>
      </c>
      <c r="K24" s="17">
        <v>31</v>
      </c>
      <c r="L24" s="16">
        <v>91.04</v>
      </c>
      <c r="M24" s="16">
        <v>2.15</v>
      </c>
      <c r="N24" s="16">
        <v>17.350000000000001</v>
      </c>
      <c r="O24" s="17">
        <v>5</v>
      </c>
      <c r="P24" s="12"/>
      <c r="Q24" s="16">
        <v>5.76</v>
      </c>
      <c r="R24" s="16">
        <v>5.76</v>
      </c>
      <c r="S24" s="12"/>
      <c r="T24" s="12"/>
      <c r="U24" s="16">
        <v>18.05</v>
      </c>
      <c r="V24" s="12"/>
      <c r="W24" s="12"/>
      <c r="X24" s="12"/>
      <c r="Y24" s="12"/>
      <c r="Z24" s="12"/>
      <c r="AA24" s="16">
        <v>5.94</v>
      </c>
      <c r="AB24" s="16">
        <v>75.069999999999993</v>
      </c>
      <c r="AC24" s="16">
        <v>7.69</v>
      </c>
      <c r="AD24" s="16">
        <v>36.75</v>
      </c>
      <c r="AE24" s="16">
        <v>18.05</v>
      </c>
      <c r="AF24" s="16">
        <v>26</v>
      </c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</row>
    <row r="25" spans="1:73" ht="15" thickBot="1">
      <c r="A25" s="15">
        <v>46007</v>
      </c>
      <c r="B25" s="12"/>
      <c r="C25" s="12"/>
      <c r="D25" s="12"/>
      <c r="E25" s="12"/>
      <c r="F25" s="12"/>
      <c r="G25" s="12"/>
      <c r="H25" s="12"/>
      <c r="I25" s="12"/>
      <c r="J25" s="17">
        <v>89.5</v>
      </c>
      <c r="K25" s="17">
        <v>28.68</v>
      </c>
      <c r="L25" s="17">
        <v>86.77</v>
      </c>
      <c r="M25" s="16">
        <v>2.1</v>
      </c>
      <c r="N25" s="16">
        <v>17.54</v>
      </c>
      <c r="O25" s="16">
        <v>5.17</v>
      </c>
      <c r="P25" s="12"/>
      <c r="Q25" s="16">
        <v>5.82</v>
      </c>
      <c r="R25" s="16">
        <v>5.82</v>
      </c>
      <c r="S25" s="12"/>
      <c r="T25" s="12"/>
      <c r="U25" s="16">
        <v>17.88</v>
      </c>
      <c r="V25" s="12"/>
      <c r="W25" s="12"/>
      <c r="X25" s="12"/>
      <c r="Y25" s="12"/>
      <c r="Z25" s="12"/>
      <c r="AA25" s="16">
        <v>6.07</v>
      </c>
      <c r="AB25" s="16">
        <v>81.36</v>
      </c>
      <c r="AC25" s="16">
        <v>8.09</v>
      </c>
      <c r="AD25" s="16">
        <v>34.36</v>
      </c>
      <c r="AE25" s="16">
        <v>17.88</v>
      </c>
      <c r="AF25" s="16">
        <v>26.61</v>
      </c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</row>
    <row r="26" spans="1:73" ht="15" thickBot="1">
      <c r="A26" s="15">
        <v>46008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7">
        <v>1.95</v>
      </c>
      <c r="N26" s="17">
        <v>17.12</v>
      </c>
      <c r="O26" s="16">
        <v>5.27</v>
      </c>
      <c r="P26" s="12"/>
      <c r="Q26" s="16">
        <v>5.44</v>
      </c>
      <c r="R26" s="16">
        <v>5.44</v>
      </c>
      <c r="S26" s="17">
        <v>3.91</v>
      </c>
      <c r="T26" s="12"/>
      <c r="U26" s="16">
        <v>16.47</v>
      </c>
      <c r="V26" s="12"/>
      <c r="W26" s="12"/>
      <c r="X26" s="12"/>
      <c r="Y26" s="12"/>
      <c r="Z26" s="12"/>
      <c r="AA26" s="16">
        <v>5.97</v>
      </c>
      <c r="AB26" s="16">
        <v>79.099999999999994</v>
      </c>
      <c r="AC26" s="16">
        <v>7.37</v>
      </c>
      <c r="AD26" s="16">
        <v>32.96</v>
      </c>
      <c r="AE26" s="16">
        <v>16.47</v>
      </c>
      <c r="AF26" s="16">
        <v>26.98</v>
      </c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</row>
    <row r="27" spans="1:73" ht="15" thickBot="1">
      <c r="A27" s="15">
        <v>46009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6">
        <v>5.77</v>
      </c>
      <c r="P27" s="17">
        <v>25.42</v>
      </c>
      <c r="Q27" s="16">
        <v>5.45</v>
      </c>
      <c r="R27" s="16">
        <v>5.45</v>
      </c>
      <c r="S27" s="16">
        <v>4.17</v>
      </c>
      <c r="T27" s="12"/>
      <c r="U27" s="16">
        <v>17.489999999999998</v>
      </c>
      <c r="V27" s="12"/>
      <c r="W27" s="12"/>
      <c r="X27" s="12"/>
      <c r="Y27" s="12"/>
      <c r="Z27" s="12"/>
      <c r="AA27" s="16">
        <v>6.13</v>
      </c>
      <c r="AB27" s="16">
        <v>82.82</v>
      </c>
      <c r="AC27" s="16">
        <v>7.8</v>
      </c>
      <c r="AD27" s="16">
        <v>32.869999999999997</v>
      </c>
      <c r="AE27" s="16">
        <v>17.489999999999998</v>
      </c>
      <c r="AF27" s="16">
        <v>26.18</v>
      </c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</row>
    <row r="28" spans="1:73" ht="15" thickBot="1">
      <c r="A28" s="15">
        <v>46010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6">
        <v>5.6</v>
      </c>
      <c r="P28" s="16">
        <v>24.49</v>
      </c>
      <c r="Q28" s="16">
        <v>5.49</v>
      </c>
      <c r="R28" s="16">
        <v>5.49</v>
      </c>
      <c r="S28" s="16">
        <v>4.32</v>
      </c>
      <c r="T28" s="12"/>
      <c r="U28" s="16">
        <v>19.18</v>
      </c>
      <c r="V28" s="12"/>
      <c r="W28" s="12"/>
      <c r="X28" s="12"/>
      <c r="Y28" s="12"/>
      <c r="Z28" s="12"/>
      <c r="AA28" s="16">
        <v>6.78</v>
      </c>
      <c r="AB28" s="16">
        <v>82.61</v>
      </c>
      <c r="AC28" s="16">
        <v>9.2200000000000006</v>
      </c>
      <c r="AD28" s="16">
        <v>33.090000000000003</v>
      </c>
      <c r="AE28" s="16">
        <v>19.18</v>
      </c>
      <c r="AF28" s="16">
        <v>26.68</v>
      </c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</row>
    <row r="29" spans="1:73" ht="15" thickBot="1">
      <c r="A29" s="15">
        <v>46013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6">
        <v>5.71</v>
      </c>
      <c r="P29" s="16">
        <v>27.13</v>
      </c>
      <c r="Q29" s="16">
        <v>5.86</v>
      </c>
      <c r="R29" s="16">
        <v>5.86</v>
      </c>
      <c r="S29" s="16">
        <v>4.38</v>
      </c>
      <c r="T29" s="12"/>
      <c r="U29" s="16">
        <v>20.6</v>
      </c>
      <c r="V29" s="12"/>
      <c r="W29" s="12"/>
      <c r="X29" s="12"/>
      <c r="Y29" s="12"/>
      <c r="Z29" s="12"/>
      <c r="AA29" s="16">
        <v>7.61</v>
      </c>
      <c r="AB29" s="16">
        <v>82.52</v>
      </c>
      <c r="AC29" s="16">
        <v>9.27</v>
      </c>
      <c r="AD29" s="16">
        <v>34.42</v>
      </c>
      <c r="AE29" s="16">
        <v>20.6</v>
      </c>
      <c r="AF29" s="16">
        <v>27.54</v>
      </c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</row>
    <row r="30" spans="1:73" ht="15" thickBot="1">
      <c r="A30" s="15">
        <v>46014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6">
        <v>5.75</v>
      </c>
      <c r="P30" s="16">
        <v>23.93</v>
      </c>
      <c r="Q30" s="16">
        <v>5.71</v>
      </c>
      <c r="R30" s="16">
        <v>5.71</v>
      </c>
      <c r="S30" s="16">
        <v>4.07</v>
      </c>
      <c r="T30" s="12"/>
      <c r="U30" s="16">
        <v>20.73</v>
      </c>
      <c r="V30" s="12"/>
      <c r="W30" s="12"/>
      <c r="X30" s="12"/>
      <c r="Y30" s="12"/>
      <c r="Z30" s="12"/>
      <c r="AA30" s="16">
        <v>7.15</v>
      </c>
      <c r="AB30" s="16">
        <v>78.92</v>
      </c>
      <c r="AC30" s="16">
        <v>8.9600000000000009</v>
      </c>
      <c r="AD30" s="16">
        <v>34.200000000000003</v>
      </c>
      <c r="AE30" s="16">
        <v>20.73</v>
      </c>
      <c r="AF30" s="16">
        <v>26.76</v>
      </c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</row>
    <row r="31" spans="1:73" ht="15" thickBot="1">
      <c r="A31" s="15">
        <v>46015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6">
        <v>5.87</v>
      </c>
      <c r="P31" s="16">
        <v>24.36</v>
      </c>
      <c r="Q31" s="16">
        <v>5.91</v>
      </c>
      <c r="R31" s="16">
        <v>5.91</v>
      </c>
      <c r="S31" s="16">
        <v>4.1900000000000004</v>
      </c>
      <c r="T31" s="12"/>
      <c r="U31" s="16">
        <v>20.32</v>
      </c>
      <c r="V31" s="12"/>
      <c r="W31" s="12"/>
      <c r="X31" s="12"/>
      <c r="Y31" s="12"/>
      <c r="Z31" s="12"/>
      <c r="AA31" s="16">
        <v>7.02</v>
      </c>
      <c r="AB31" s="16">
        <v>79.8</v>
      </c>
      <c r="AC31" s="16">
        <v>9.1300000000000008</v>
      </c>
      <c r="AD31" s="16">
        <v>33.67</v>
      </c>
      <c r="AE31" s="16">
        <v>20.32</v>
      </c>
      <c r="AF31" s="16">
        <v>26.88</v>
      </c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</row>
    <row r="32" spans="1:73" ht="15" thickBot="1">
      <c r="A32" s="15">
        <v>46016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6">
        <v>5.28</v>
      </c>
      <c r="P32" s="16">
        <v>24.18</v>
      </c>
      <c r="Q32" s="16">
        <v>5.83</v>
      </c>
      <c r="R32" s="16">
        <v>5.83</v>
      </c>
      <c r="S32" s="16">
        <v>4.16</v>
      </c>
      <c r="T32" s="12"/>
      <c r="U32" s="16">
        <v>19.36</v>
      </c>
      <c r="V32" s="12"/>
      <c r="W32" s="12"/>
      <c r="X32" s="12"/>
      <c r="Y32" s="12"/>
      <c r="Z32" s="12"/>
      <c r="AA32" s="16">
        <v>6.81</v>
      </c>
      <c r="AB32" s="16">
        <v>74.69</v>
      </c>
      <c r="AC32" s="16">
        <v>8.48</v>
      </c>
      <c r="AD32" s="16">
        <v>33.729999999999997</v>
      </c>
      <c r="AE32" s="16">
        <v>19.36</v>
      </c>
      <c r="AF32" s="16">
        <v>26.16</v>
      </c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</row>
    <row r="33" spans="1:73" ht="15" thickBot="1">
      <c r="A33" s="15">
        <v>46017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6">
        <v>5.28</v>
      </c>
      <c r="P33" s="16">
        <v>24.18</v>
      </c>
      <c r="Q33" s="16">
        <v>5.83</v>
      </c>
      <c r="R33" s="16">
        <v>5.83</v>
      </c>
      <c r="S33" s="16">
        <v>4.16</v>
      </c>
      <c r="T33" s="12"/>
      <c r="U33" s="16">
        <v>19.36</v>
      </c>
      <c r="V33" s="12"/>
      <c r="W33" s="12"/>
      <c r="X33" s="12"/>
      <c r="Y33" s="12"/>
      <c r="Z33" s="12"/>
      <c r="AA33" s="16">
        <v>6.81</v>
      </c>
      <c r="AB33" s="16">
        <v>74.69</v>
      </c>
      <c r="AC33" s="16">
        <v>8.48</v>
      </c>
      <c r="AD33" s="16">
        <v>33.729999999999997</v>
      </c>
      <c r="AE33" s="16">
        <v>19.36</v>
      </c>
      <c r="AF33" s="16">
        <v>26.16</v>
      </c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</row>
    <row r="34" spans="1:73" ht="15" thickBot="1">
      <c r="A34" s="15">
        <v>46020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6">
        <v>5.21</v>
      </c>
      <c r="P34" s="16">
        <v>24.31</v>
      </c>
      <c r="Q34" s="16">
        <v>5.65</v>
      </c>
      <c r="R34" s="16">
        <v>5.65</v>
      </c>
      <c r="S34" s="16">
        <v>4.45</v>
      </c>
      <c r="T34" s="12"/>
      <c r="U34" s="16">
        <v>19.87</v>
      </c>
      <c r="V34" s="12"/>
      <c r="W34" s="12"/>
      <c r="X34" s="12"/>
      <c r="Y34" s="12"/>
      <c r="Z34" s="12"/>
      <c r="AA34" s="16">
        <v>6.54</v>
      </c>
      <c r="AB34" s="16">
        <v>71.319999999999993</v>
      </c>
      <c r="AC34" s="16">
        <v>8.4600000000000009</v>
      </c>
      <c r="AD34" s="16">
        <v>32.97</v>
      </c>
      <c r="AE34" s="16">
        <v>19.87</v>
      </c>
      <c r="AF34" s="16">
        <v>25.61</v>
      </c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</row>
    <row r="35" spans="1:73" ht="15" thickBot="1">
      <c r="A35" s="15">
        <v>46021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6">
        <v>5.18</v>
      </c>
      <c r="P35" s="16">
        <v>23.79</v>
      </c>
      <c r="Q35" s="16">
        <v>5.66</v>
      </c>
      <c r="R35" s="16">
        <v>5.66</v>
      </c>
      <c r="S35" s="16">
        <v>4.26</v>
      </c>
      <c r="T35" s="12"/>
      <c r="U35" s="16">
        <v>19.739999999999998</v>
      </c>
      <c r="V35" s="12"/>
      <c r="W35" s="12"/>
      <c r="X35" s="12"/>
      <c r="Y35" s="12"/>
      <c r="Z35" s="12"/>
      <c r="AA35" s="16">
        <v>6.52</v>
      </c>
      <c r="AB35" s="16">
        <v>71.8</v>
      </c>
      <c r="AC35" s="16">
        <v>8.99</v>
      </c>
      <c r="AD35" s="16">
        <v>33.700000000000003</v>
      </c>
      <c r="AE35" s="16">
        <v>19.739999999999998</v>
      </c>
      <c r="AF35" s="16">
        <v>25.35</v>
      </c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</row>
    <row r="36" spans="1:73" ht="15" thickBot="1">
      <c r="A36" s="15">
        <v>46022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6">
        <v>5.18</v>
      </c>
      <c r="P36" s="16">
        <v>23.77</v>
      </c>
      <c r="Q36" s="16">
        <v>5.5</v>
      </c>
      <c r="R36" s="16">
        <v>5.5</v>
      </c>
      <c r="S36" s="16">
        <v>4.18</v>
      </c>
      <c r="T36" s="12"/>
      <c r="U36" s="16">
        <v>19.72</v>
      </c>
      <c r="V36" s="12"/>
      <c r="W36" s="12"/>
      <c r="X36" s="12"/>
      <c r="Y36" s="12"/>
      <c r="Z36" s="12"/>
      <c r="AA36" s="16">
        <v>6.33</v>
      </c>
      <c r="AB36" s="16">
        <v>71.180000000000007</v>
      </c>
      <c r="AC36" s="16">
        <v>9.76</v>
      </c>
      <c r="AD36" s="16">
        <v>32</v>
      </c>
      <c r="AE36" s="16">
        <v>19.72</v>
      </c>
      <c r="AF36" s="16">
        <v>25.42</v>
      </c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</row>
    <row r="37" spans="1:73" ht="15" thickBot="1">
      <c r="A37" s="15">
        <v>46023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6">
        <v>4.6399999999999997</v>
      </c>
      <c r="P37" s="16">
        <v>25.41</v>
      </c>
      <c r="Q37" s="16">
        <v>5.25</v>
      </c>
      <c r="R37" s="16">
        <v>5.25</v>
      </c>
      <c r="S37" s="16">
        <v>4.28</v>
      </c>
      <c r="T37" s="12"/>
      <c r="U37" s="16">
        <v>20.41</v>
      </c>
      <c r="V37" s="12"/>
      <c r="W37" s="12"/>
      <c r="X37" s="12"/>
      <c r="Y37" s="12"/>
      <c r="Z37" s="12"/>
      <c r="AA37" s="16">
        <v>7.16</v>
      </c>
      <c r="AB37" s="16">
        <v>75.959999999999994</v>
      </c>
      <c r="AC37" s="16">
        <v>11.02</v>
      </c>
      <c r="AD37" s="16">
        <v>33.409999999999997</v>
      </c>
      <c r="AE37" s="16">
        <v>20.41</v>
      </c>
      <c r="AF37" s="16">
        <v>25.91</v>
      </c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</row>
    <row r="38" spans="1:73" ht="15" thickBot="1">
      <c r="A38" s="15">
        <v>46024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7">
        <v>4.93</v>
      </c>
      <c r="P38" s="16">
        <v>25.41</v>
      </c>
      <c r="Q38" s="16">
        <v>5.25</v>
      </c>
      <c r="R38" s="16">
        <v>5.25</v>
      </c>
      <c r="S38" s="16">
        <v>4.28</v>
      </c>
      <c r="T38" s="12"/>
      <c r="U38" s="16">
        <v>20.41</v>
      </c>
      <c r="V38" s="12"/>
      <c r="W38" s="12"/>
      <c r="X38" s="12"/>
      <c r="Y38" s="12"/>
      <c r="Z38" s="12"/>
      <c r="AA38" s="16">
        <v>7.16</v>
      </c>
      <c r="AB38" s="16">
        <v>75.959999999999994</v>
      </c>
      <c r="AC38" s="16">
        <v>11.02</v>
      </c>
      <c r="AD38" s="16">
        <v>33.409999999999997</v>
      </c>
      <c r="AE38" s="16">
        <v>20.41</v>
      </c>
      <c r="AF38" s="16">
        <v>25.91</v>
      </c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</row>
    <row r="39" spans="1:73" ht="15" thickBot="1">
      <c r="A39" s="15">
        <v>46027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6">
        <v>25.18</v>
      </c>
      <c r="Q39" s="16">
        <v>4.8899999999999997</v>
      </c>
      <c r="R39" s="16">
        <v>4.8899999999999997</v>
      </c>
      <c r="S39" s="16">
        <v>4.18</v>
      </c>
      <c r="T39" s="12"/>
      <c r="U39" s="16">
        <v>21.39</v>
      </c>
      <c r="V39" s="12"/>
      <c r="W39" s="12"/>
      <c r="X39" s="12"/>
      <c r="Y39" s="12"/>
      <c r="Z39" s="12"/>
      <c r="AA39" s="16">
        <v>7.43</v>
      </c>
      <c r="AB39" s="16">
        <v>76.849999999999994</v>
      </c>
      <c r="AC39" s="16">
        <v>12.53</v>
      </c>
      <c r="AD39" s="16">
        <v>33.380000000000003</v>
      </c>
      <c r="AE39" s="16">
        <v>21.39</v>
      </c>
      <c r="AF39" s="16">
        <v>24.97</v>
      </c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</row>
    <row r="40" spans="1:73" ht="15" thickBot="1">
      <c r="A40" s="15">
        <v>46028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6">
        <v>23.48</v>
      </c>
      <c r="Q40" s="16">
        <v>5.26</v>
      </c>
      <c r="R40" s="16">
        <v>5.26</v>
      </c>
      <c r="S40" s="16">
        <v>4.55</v>
      </c>
      <c r="T40" s="12"/>
      <c r="U40" s="16">
        <v>21.84</v>
      </c>
      <c r="V40" s="12"/>
      <c r="W40" s="12"/>
      <c r="X40" s="12"/>
      <c r="Y40" s="12"/>
      <c r="Z40" s="12"/>
      <c r="AA40" s="16">
        <v>7.35</v>
      </c>
      <c r="AB40" s="16">
        <v>80.02</v>
      </c>
      <c r="AC40" s="16">
        <v>12.84</v>
      </c>
      <c r="AD40" s="16">
        <v>35.200000000000003</v>
      </c>
      <c r="AE40" s="16">
        <v>21.84</v>
      </c>
      <c r="AF40" s="16">
        <v>25.9</v>
      </c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</row>
    <row r="41" spans="1:73" ht="15" thickBot="1">
      <c r="A41" s="15">
        <v>46029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7">
        <v>22.07</v>
      </c>
      <c r="Q41" s="16">
        <v>5.31</v>
      </c>
      <c r="R41" s="16">
        <v>5.31</v>
      </c>
      <c r="S41" s="16">
        <v>4.8499999999999996</v>
      </c>
      <c r="T41" s="12"/>
      <c r="U41" s="16">
        <v>22.61</v>
      </c>
      <c r="V41" s="12"/>
      <c r="W41" s="12"/>
      <c r="X41" s="12"/>
      <c r="Y41" s="12"/>
      <c r="Z41" s="12"/>
      <c r="AA41" s="16">
        <v>7.45</v>
      </c>
      <c r="AB41" s="16">
        <v>81</v>
      </c>
      <c r="AC41" s="16">
        <v>12.18</v>
      </c>
      <c r="AD41" s="16">
        <v>34.86</v>
      </c>
      <c r="AE41" s="16">
        <v>22.61</v>
      </c>
      <c r="AF41" s="16">
        <v>26.73</v>
      </c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</row>
    <row r="42" spans="1:73" ht="15" thickBot="1">
      <c r="A42" s="15">
        <v>46030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6">
        <v>5.14</v>
      </c>
      <c r="R42" s="16">
        <v>5.14</v>
      </c>
      <c r="S42" s="16">
        <v>4.6100000000000003</v>
      </c>
      <c r="T42" s="12"/>
      <c r="U42" s="16">
        <v>22.44</v>
      </c>
      <c r="V42" s="12"/>
      <c r="W42" s="12"/>
      <c r="X42" s="12"/>
      <c r="Y42" s="12"/>
      <c r="Z42" s="12"/>
      <c r="AA42" s="16">
        <v>7.28</v>
      </c>
      <c r="AB42" s="16">
        <v>80.760000000000005</v>
      </c>
      <c r="AC42" s="16">
        <v>14.01</v>
      </c>
      <c r="AD42" s="16">
        <v>31.78</v>
      </c>
      <c r="AE42" s="16">
        <v>22.44</v>
      </c>
      <c r="AF42" s="16">
        <v>26.31</v>
      </c>
      <c r="AG42" s="17">
        <v>10.79</v>
      </c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</row>
    <row r="43" spans="1:73" ht="15" thickBot="1">
      <c r="A43" s="15">
        <v>46031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7">
        <v>5.14</v>
      </c>
      <c r="R43" s="17">
        <v>5.0199999999999996</v>
      </c>
      <c r="S43" s="16">
        <v>4.59</v>
      </c>
      <c r="T43" s="12"/>
      <c r="U43" s="16">
        <v>22.71</v>
      </c>
      <c r="V43" s="12"/>
      <c r="W43" s="12"/>
      <c r="X43" s="12"/>
      <c r="Y43" s="12"/>
      <c r="Z43" s="17">
        <v>18</v>
      </c>
      <c r="AA43" s="17">
        <v>7.39</v>
      </c>
      <c r="AB43" s="16">
        <v>79.650000000000006</v>
      </c>
      <c r="AC43" s="16">
        <v>13.69</v>
      </c>
      <c r="AD43" s="16">
        <v>33.33</v>
      </c>
      <c r="AE43" s="16">
        <v>22.71</v>
      </c>
      <c r="AF43" s="16">
        <v>26.03</v>
      </c>
      <c r="AG43" s="16">
        <v>10.9</v>
      </c>
      <c r="AH43" s="12"/>
      <c r="AI43" s="17">
        <v>18.47</v>
      </c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</row>
    <row r="44" spans="1:73" ht="15" thickBot="1">
      <c r="A44" s="15">
        <v>46034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6">
        <v>4.1399999999999997</v>
      </c>
      <c r="T44" s="12"/>
      <c r="U44" s="16">
        <v>25.44</v>
      </c>
      <c r="V44" s="17">
        <v>1.88</v>
      </c>
      <c r="W44" s="12"/>
      <c r="X44" s="12"/>
      <c r="Y44" s="12"/>
      <c r="Z44" s="16">
        <v>18.68</v>
      </c>
      <c r="AA44" s="16">
        <v>7.21</v>
      </c>
      <c r="AB44" s="16">
        <v>86.51</v>
      </c>
      <c r="AC44" s="16">
        <v>13.19</v>
      </c>
      <c r="AD44" s="16">
        <v>33.700000000000003</v>
      </c>
      <c r="AE44" s="16">
        <v>25.44</v>
      </c>
      <c r="AF44" s="16">
        <v>25.81</v>
      </c>
      <c r="AG44" s="16">
        <v>10.61</v>
      </c>
      <c r="AH44" s="12"/>
      <c r="AI44" s="16">
        <v>18.91</v>
      </c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</row>
    <row r="45" spans="1:73" ht="15" thickBot="1">
      <c r="A45" s="15">
        <v>46035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7">
        <v>3.97</v>
      </c>
      <c r="T45" s="12"/>
      <c r="U45" s="16">
        <v>25.32</v>
      </c>
      <c r="V45" s="16">
        <v>1.87</v>
      </c>
      <c r="W45" s="12"/>
      <c r="X45" s="12"/>
      <c r="Y45" s="12"/>
      <c r="Z45" s="16">
        <v>18.43</v>
      </c>
      <c r="AA45" s="16">
        <v>7.14</v>
      </c>
      <c r="AB45" s="16">
        <v>81.42</v>
      </c>
      <c r="AC45" s="16">
        <v>13.89</v>
      </c>
      <c r="AD45" s="16">
        <v>33.39</v>
      </c>
      <c r="AE45" s="16">
        <v>25.32</v>
      </c>
      <c r="AF45" s="16">
        <v>26.18</v>
      </c>
      <c r="AG45" s="16">
        <v>10.73</v>
      </c>
      <c r="AH45" s="12"/>
      <c r="AI45" s="16">
        <v>18.45</v>
      </c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</row>
    <row r="46" spans="1:73" ht="15" thickBot="1">
      <c r="A46" s="15">
        <v>46036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7">
        <v>19.11</v>
      </c>
      <c r="U46" s="16">
        <v>26.73</v>
      </c>
      <c r="V46" s="16">
        <v>1.87</v>
      </c>
      <c r="W46" s="17">
        <v>8.98</v>
      </c>
      <c r="X46" s="12"/>
      <c r="Y46" s="12"/>
      <c r="Z46" s="16">
        <v>20.86</v>
      </c>
      <c r="AA46" s="16">
        <v>8.09</v>
      </c>
      <c r="AB46" s="16">
        <v>81.14</v>
      </c>
      <c r="AC46" s="16">
        <v>13.56</v>
      </c>
      <c r="AD46" s="16">
        <v>31.42</v>
      </c>
      <c r="AE46" s="16">
        <v>26.73</v>
      </c>
      <c r="AF46" s="16">
        <v>27.35</v>
      </c>
      <c r="AG46" s="16">
        <v>10.87</v>
      </c>
      <c r="AH46" s="17">
        <v>10.97</v>
      </c>
      <c r="AI46" s="16">
        <v>17.600000000000001</v>
      </c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</row>
    <row r="47" spans="1:73" ht="15" thickBot="1">
      <c r="A47" s="15">
        <v>46037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6">
        <v>18.260000000000002</v>
      </c>
      <c r="U47" s="16">
        <v>28.28</v>
      </c>
      <c r="V47" s="16">
        <v>1.97</v>
      </c>
      <c r="W47" s="16">
        <v>8.7200000000000006</v>
      </c>
      <c r="X47" s="12"/>
      <c r="Y47" s="12"/>
      <c r="Z47" s="16">
        <v>18.440000000000001</v>
      </c>
      <c r="AA47" s="16">
        <v>8.31</v>
      </c>
      <c r="AB47" s="16">
        <v>80.19</v>
      </c>
      <c r="AC47" s="16">
        <v>12.82</v>
      </c>
      <c r="AD47" s="16">
        <v>34.22</v>
      </c>
      <c r="AE47" s="16">
        <v>28.28</v>
      </c>
      <c r="AF47" s="16">
        <v>26</v>
      </c>
      <c r="AG47" s="16">
        <v>10.66</v>
      </c>
      <c r="AH47" s="16">
        <v>10.66</v>
      </c>
      <c r="AI47" s="16">
        <v>17.329999999999998</v>
      </c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</row>
    <row r="48" spans="1:73" ht="15" thickBot="1">
      <c r="A48" s="15">
        <v>46038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6">
        <v>18.23</v>
      </c>
      <c r="U48" s="16">
        <v>28.78</v>
      </c>
      <c r="V48" s="16">
        <v>1.92</v>
      </c>
      <c r="W48" s="16">
        <v>8.36</v>
      </c>
      <c r="X48" s="12"/>
      <c r="Y48" s="12"/>
      <c r="Z48" s="16">
        <v>19.47</v>
      </c>
      <c r="AA48" s="16">
        <v>8.3000000000000007</v>
      </c>
      <c r="AB48" s="16">
        <v>79.41</v>
      </c>
      <c r="AC48" s="16">
        <v>12.16</v>
      </c>
      <c r="AD48" s="16">
        <v>34.53</v>
      </c>
      <c r="AE48" s="16">
        <v>28.78</v>
      </c>
      <c r="AF48" s="16">
        <v>26.27</v>
      </c>
      <c r="AG48" s="16">
        <v>10.72</v>
      </c>
      <c r="AH48" s="16">
        <v>10.72</v>
      </c>
      <c r="AI48" s="16">
        <v>17.68</v>
      </c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</row>
    <row r="49" spans="1:73" ht="15" thickBot="1">
      <c r="A49" s="15">
        <v>46041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6">
        <v>16.79</v>
      </c>
      <c r="U49" s="16">
        <v>28</v>
      </c>
      <c r="V49" s="16">
        <v>1.82</v>
      </c>
      <c r="W49" s="16">
        <v>9.02</v>
      </c>
      <c r="X49" s="12"/>
      <c r="Y49" s="12"/>
      <c r="Z49" s="16">
        <v>19.170000000000002</v>
      </c>
      <c r="AA49" s="16">
        <v>8.24</v>
      </c>
      <c r="AB49" s="16">
        <v>78.239999999999995</v>
      </c>
      <c r="AC49" s="16">
        <v>13.13</v>
      </c>
      <c r="AD49" s="16">
        <v>34.44</v>
      </c>
      <c r="AE49" s="16">
        <v>28</v>
      </c>
      <c r="AF49" s="16">
        <v>26.14</v>
      </c>
      <c r="AG49" s="16">
        <v>10.87</v>
      </c>
      <c r="AH49" s="16">
        <v>10.87</v>
      </c>
      <c r="AI49" s="16">
        <v>17.27</v>
      </c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</row>
    <row r="50" spans="1:73" ht="15" thickBot="1">
      <c r="A50" s="15">
        <v>46042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7">
        <v>17.62</v>
      </c>
      <c r="U50" s="16">
        <v>28</v>
      </c>
      <c r="V50" s="16">
        <v>1.82</v>
      </c>
      <c r="W50" s="16">
        <v>9.02</v>
      </c>
      <c r="X50" s="12"/>
      <c r="Y50" s="17">
        <v>2.76</v>
      </c>
      <c r="Z50" s="16">
        <v>19.170000000000002</v>
      </c>
      <c r="AA50" s="16">
        <v>8.24</v>
      </c>
      <c r="AB50" s="16">
        <v>78.239999999999995</v>
      </c>
      <c r="AC50" s="16">
        <v>13.13</v>
      </c>
      <c r="AD50" s="16">
        <v>34.44</v>
      </c>
      <c r="AE50" s="16">
        <v>28</v>
      </c>
      <c r="AF50" s="16">
        <v>26.14</v>
      </c>
      <c r="AG50" s="16">
        <v>10.87</v>
      </c>
      <c r="AH50" s="16">
        <v>10.87</v>
      </c>
      <c r="AI50" s="16">
        <v>17.27</v>
      </c>
      <c r="AJ50" s="17">
        <v>8.4</v>
      </c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</row>
    <row r="51" spans="1:73" ht="15" thickBot="1">
      <c r="A51" s="15">
        <v>46043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7">
        <v>27.2</v>
      </c>
      <c r="V51" s="16">
        <v>1.83</v>
      </c>
      <c r="W51" s="16">
        <v>9.48</v>
      </c>
      <c r="X51" s="12"/>
      <c r="Y51" s="16">
        <v>2.87</v>
      </c>
      <c r="Z51" s="16">
        <v>20.32</v>
      </c>
      <c r="AA51" s="16">
        <v>8.3699999999999992</v>
      </c>
      <c r="AB51" s="16">
        <v>85.36</v>
      </c>
      <c r="AC51" s="16">
        <v>12.55</v>
      </c>
      <c r="AD51" s="16">
        <v>36.25</v>
      </c>
      <c r="AE51" s="16">
        <v>26.38</v>
      </c>
      <c r="AF51" s="16">
        <v>26.02</v>
      </c>
      <c r="AG51" s="16">
        <v>11.6</v>
      </c>
      <c r="AH51" s="16">
        <v>11.6</v>
      </c>
      <c r="AI51" s="16">
        <v>18.100000000000001</v>
      </c>
      <c r="AJ51" s="16">
        <v>9.9</v>
      </c>
      <c r="AK51" s="17">
        <v>11.4</v>
      </c>
      <c r="AL51" s="17">
        <v>11.4</v>
      </c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</row>
    <row r="52" spans="1:73" ht="15" thickBot="1">
      <c r="A52" s="15">
        <v>46044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6">
        <v>1.86</v>
      </c>
      <c r="W52" s="16">
        <v>10.51</v>
      </c>
      <c r="X52" s="12"/>
      <c r="Y52" s="16">
        <v>2.89</v>
      </c>
      <c r="Z52" s="16">
        <v>19.690000000000001</v>
      </c>
      <c r="AA52" s="16">
        <v>6.94</v>
      </c>
      <c r="AB52" s="16">
        <v>96.57</v>
      </c>
      <c r="AC52" s="16">
        <v>12.62</v>
      </c>
      <c r="AD52" s="16">
        <v>36.17</v>
      </c>
      <c r="AE52" s="16">
        <v>26.06</v>
      </c>
      <c r="AF52" s="16">
        <v>26.18</v>
      </c>
      <c r="AG52" s="16">
        <v>12.57</v>
      </c>
      <c r="AH52" s="16">
        <v>12.57</v>
      </c>
      <c r="AI52" s="16">
        <v>18.63</v>
      </c>
      <c r="AJ52" s="16">
        <v>9.75</v>
      </c>
      <c r="AK52" s="16">
        <v>11</v>
      </c>
      <c r="AL52" s="16">
        <v>11</v>
      </c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</row>
    <row r="53" spans="1:73" ht="15" thickBot="1">
      <c r="A53" s="15">
        <v>46045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6">
        <v>1.83</v>
      </c>
      <c r="W53" s="16">
        <v>9.76</v>
      </c>
      <c r="X53" s="17">
        <v>2.0299999999999998</v>
      </c>
      <c r="Y53" s="16">
        <v>2.82</v>
      </c>
      <c r="Z53" s="16">
        <v>20.11</v>
      </c>
      <c r="AA53" s="16">
        <v>6.91</v>
      </c>
      <c r="AB53" s="16">
        <v>93.25</v>
      </c>
      <c r="AC53" s="16">
        <v>12.17</v>
      </c>
      <c r="AD53" s="16">
        <v>34.72</v>
      </c>
      <c r="AE53" s="16">
        <v>26.94</v>
      </c>
      <c r="AF53" s="16">
        <v>26.01</v>
      </c>
      <c r="AG53" s="16">
        <v>12.5</v>
      </c>
      <c r="AH53" s="16">
        <v>12.5</v>
      </c>
      <c r="AI53" s="16">
        <v>19.38</v>
      </c>
      <c r="AJ53" s="16">
        <v>9.17</v>
      </c>
      <c r="AK53" s="16">
        <v>10.94</v>
      </c>
      <c r="AL53" s="16">
        <v>10.94</v>
      </c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</row>
    <row r="54" spans="1:73" ht="15" thickBot="1">
      <c r="A54" s="15">
        <v>46048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6">
        <v>1.7</v>
      </c>
      <c r="W54" s="16">
        <v>8.8800000000000008</v>
      </c>
      <c r="X54" s="16">
        <v>2.0099999999999998</v>
      </c>
      <c r="Y54" s="16">
        <v>2.67</v>
      </c>
      <c r="Z54" s="16">
        <v>20.53</v>
      </c>
      <c r="AA54" s="16">
        <v>6.46</v>
      </c>
      <c r="AB54" s="16">
        <v>89.88</v>
      </c>
      <c r="AC54" s="16">
        <v>11.16</v>
      </c>
      <c r="AD54" s="16">
        <v>34.69</v>
      </c>
      <c r="AE54" s="16">
        <v>25.87</v>
      </c>
      <c r="AF54" s="16">
        <v>26.6</v>
      </c>
      <c r="AG54" s="16">
        <v>11.97</v>
      </c>
      <c r="AH54" s="16">
        <v>11.97</v>
      </c>
      <c r="AI54" s="16">
        <v>19.510000000000002</v>
      </c>
      <c r="AJ54" s="16">
        <v>9.6300000000000008</v>
      </c>
      <c r="AK54" s="16">
        <v>11.12</v>
      </c>
      <c r="AL54" s="16">
        <v>11.12</v>
      </c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</row>
    <row r="55" spans="1:73" ht="15" thickBot="1">
      <c r="A55" s="15">
        <v>46049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7">
        <v>1.66</v>
      </c>
      <c r="W55" s="16">
        <v>9.2799999999999994</v>
      </c>
      <c r="X55" s="16">
        <v>2.04</v>
      </c>
      <c r="Y55" s="16">
        <v>2.62</v>
      </c>
      <c r="Z55" s="16">
        <v>21.6</v>
      </c>
      <c r="AA55" s="16">
        <v>6.79</v>
      </c>
      <c r="AB55" s="16">
        <v>87.75</v>
      </c>
      <c r="AC55" s="16">
        <v>12.26</v>
      </c>
      <c r="AD55" s="16">
        <v>35.619999999999997</v>
      </c>
      <c r="AE55" s="16">
        <v>28.07</v>
      </c>
      <c r="AF55" s="16">
        <v>26.83</v>
      </c>
      <c r="AG55" s="16">
        <v>12.34</v>
      </c>
      <c r="AH55" s="16">
        <v>12.34</v>
      </c>
      <c r="AI55" s="16">
        <v>21.04</v>
      </c>
      <c r="AJ55" s="16">
        <v>9.82</v>
      </c>
      <c r="AK55" s="16">
        <v>10.75</v>
      </c>
      <c r="AL55" s="16">
        <v>10.75</v>
      </c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</row>
    <row r="56" spans="1:73" ht="15" thickBot="1">
      <c r="A56" s="15">
        <v>46050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7">
        <v>8.32</v>
      </c>
      <c r="X56" s="17">
        <v>1.92</v>
      </c>
      <c r="Y56" s="16">
        <v>2.61</v>
      </c>
      <c r="Z56" s="16">
        <v>22.16</v>
      </c>
      <c r="AA56" s="16">
        <v>6.22</v>
      </c>
      <c r="AB56" s="16">
        <v>92.06</v>
      </c>
      <c r="AC56" s="16">
        <v>12.27</v>
      </c>
      <c r="AD56" s="16">
        <v>35.94</v>
      </c>
      <c r="AE56" s="16">
        <v>27.88</v>
      </c>
      <c r="AF56" s="16">
        <v>26.06</v>
      </c>
      <c r="AG56" s="16">
        <v>11.85</v>
      </c>
      <c r="AH56" s="16">
        <v>11.85</v>
      </c>
      <c r="AI56" s="16">
        <v>20.260000000000002</v>
      </c>
      <c r="AJ56" s="16">
        <v>9.23</v>
      </c>
      <c r="AK56" s="16">
        <v>10.66</v>
      </c>
      <c r="AL56" s="16">
        <v>10.66</v>
      </c>
      <c r="AM56" s="17">
        <v>4.92</v>
      </c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</row>
    <row r="57" spans="1:73" ht="15" thickBot="1">
      <c r="A57" s="15">
        <v>46051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6">
        <v>2.57</v>
      </c>
      <c r="Z57" s="16">
        <v>22.02</v>
      </c>
      <c r="AA57" s="16">
        <v>5.95</v>
      </c>
      <c r="AB57" s="16">
        <v>91.28</v>
      </c>
      <c r="AC57" s="16">
        <v>11.27</v>
      </c>
      <c r="AD57" s="16">
        <v>35.28</v>
      </c>
      <c r="AE57" s="16">
        <v>26.35</v>
      </c>
      <c r="AF57" s="16">
        <v>26.45</v>
      </c>
      <c r="AG57" s="16">
        <v>11.92</v>
      </c>
      <c r="AH57" s="16">
        <v>11.92</v>
      </c>
      <c r="AI57" s="16">
        <v>20.47</v>
      </c>
      <c r="AJ57" s="16">
        <v>9.44</v>
      </c>
      <c r="AK57" s="16">
        <v>11.44</v>
      </c>
      <c r="AL57" s="16">
        <v>11.44</v>
      </c>
      <c r="AM57" s="16">
        <v>4.53</v>
      </c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</row>
    <row r="58" spans="1:73" ht="15" thickBot="1">
      <c r="A58" s="15">
        <v>46052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7">
        <v>2.48</v>
      </c>
      <c r="Z58" s="17">
        <v>20.69</v>
      </c>
      <c r="AA58" s="17">
        <v>5.8</v>
      </c>
      <c r="AB58" s="16">
        <v>86.73</v>
      </c>
      <c r="AC58" s="16">
        <v>10.36</v>
      </c>
      <c r="AD58" s="16">
        <v>34.57</v>
      </c>
      <c r="AE58" s="16">
        <v>24.97</v>
      </c>
      <c r="AF58" s="16">
        <v>26</v>
      </c>
      <c r="AG58" s="16">
        <v>11.96</v>
      </c>
      <c r="AH58" s="16">
        <v>11.96</v>
      </c>
      <c r="AI58" s="16">
        <v>20.22</v>
      </c>
      <c r="AJ58" s="16">
        <v>8.85</v>
      </c>
      <c r="AK58" s="16">
        <v>11.49</v>
      </c>
      <c r="AL58" s="16">
        <v>11.49</v>
      </c>
      <c r="AM58" s="16">
        <v>4.49</v>
      </c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</row>
    <row r="59" spans="1:73" ht="15" thickBot="1">
      <c r="A59" s="15">
        <v>46055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6">
        <v>5.84</v>
      </c>
      <c r="AB59" s="16">
        <v>80.569999999999993</v>
      </c>
      <c r="AC59" s="16">
        <v>10.64</v>
      </c>
      <c r="AD59" s="16">
        <v>36.1</v>
      </c>
      <c r="AE59" s="16">
        <v>22.85</v>
      </c>
      <c r="AF59" s="16">
        <v>26.08</v>
      </c>
      <c r="AG59" s="16">
        <v>12.71</v>
      </c>
      <c r="AH59" s="16">
        <v>12.71</v>
      </c>
      <c r="AI59" s="16">
        <v>19.98</v>
      </c>
      <c r="AJ59" s="16">
        <v>8.69</v>
      </c>
      <c r="AK59" s="16">
        <v>11.83</v>
      </c>
      <c r="AL59" s="16">
        <v>11.83</v>
      </c>
      <c r="AM59" s="16">
        <v>4.83</v>
      </c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</row>
    <row r="60" spans="1:73" ht="15" thickBot="1">
      <c r="A60" s="15">
        <v>46056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6">
        <v>6.04</v>
      </c>
      <c r="AB60" s="16">
        <v>82.69</v>
      </c>
      <c r="AC60" s="16">
        <v>11.38</v>
      </c>
      <c r="AD60" s="16">
        <v>35.19</v>
      </c>
      <c r="AE60" s="16">
        <v>23.95</v>
      </c>
      <c r="AF60" s="16">
        <v>25.8</v>
      </c>
      <c r="AG60" s="16">
        <v>13.21</v>
      </c>
      <c r="AH60" s="16">
        <v>13.21</v>
      </c>
      <c r="AI60" s="16">
        <v>19.98</v>
      </c>
      <c r="AJ60" s="16">
        <v>8.3699999999999992</v>
      </c>
      <c r="AK60" s="16">
        <v>11.83</v>
      </c>
      <c r="AL60" s="16">
        <v>11.83</v>
      </c>
      <c r="AM60" s="16">
        <v>4.8</v>
      </c>
      <c r="AN60" s="17">
        <v>5.56</v>
      </c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</row>
    <row r="61" spans="1:73" ht="15" thickBot="1">
      <c r="A61" s="15">
        <v>46057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6">
        <v>5.56</v>
      </c>
      <c r="AB61" s="17">
        <v>77.2</v>
      </c>
      <c r="AC61" s="17">
        <v>10.7</v>
      </c>
      <c r="AD61" s="17">
        <v>34.1</v>
      </c>
      <c r="AE61" s="17">
        <v>22.89</v>
      </c>
      <c r="AF61" s="17">
        <v>25.32</v>
      </c>
      <c r="AG61" s="17">
        <v>12.16</v>
      </c>
      <c r="AH61" s="17">
        <v>12.31</v>
      </c>
      <c r="AI61" s="17">
        <v>18.850000000000001</v>
      </c>
      <c r="AJ61" s="17">
        <v>8.18</v>
      </c>
      <c r="AK61" s="17">
        <v>11.08</v>
      </c>
      <c r="AL61" s="16">
        <v>11.18</v>
      </c>
      <c r="AM61" s="17">
        <v>4.55</v>
      </c>
      <c r="AN61" s="16">
        <v>5.96</v>
      </c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</row>
    <row r="62" spans="1:73" ht="15" thickBot="1">
      <c r="A62" s="15">
        <v>46058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7">
        <v>10.65</v>
      </c>
      <c r="AM62" s="12"/>
      <c r="AN62" s="16">
        <v>6.04</v>
      </c>
      <c r="AO62" s="17">
        <v>2.65</v>
      </c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</row>
    <row r="63" spans="1:73" ht="15" thickBot="1">
      <c r="A63" s="15">
        <v>46059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6">
        <v>6.36</v>
      </c>
      <c r="AO63" s="17">
        <v>2.56</v>
      </c>
      <c r="AP63" s="17">
        <v>2.74</v>
      </c>
      <c r="AQ63" s="17">
        <v>27.15</v>
      </c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</row>
    <row r="64" spans="1:73" ht="15" thickBot="1">
      <c r="A64" s="15">
        <v>46062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6">
        <v>6.16</v>
      </c>
      <c r="AO64" s="12"/>
      <c r="AP64" s="16">
        <v>2.77</v>
      </c>
      <c r="AQ64" s="16">
        <v>27.49</v>
      </c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</row>
    <row r="65" spans="1:73" ht="15" thickBot="1">
      <c r="A65" s="15">
        <v>46063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6">
        <v>6.01</v>
      </c>
      <c r="AO65" s="12"/>
      <c r="AP65" s="16">
        <v>2.75</v>
      </c>
      <c r="AQ65" s="16">
        <v>26.68</v>
      </c>
      <c r="AR65" s="17">
        <v>4.63</v>
      </c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</row>
    <row r="66" spans="1:73" ht="15" thickBot="1">
      <c r="A66" s="15">
        <v>46064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6">
        <v>5.81</v>
      </c>
      <c r="AO66" s="12"/>
      <c r="AP66" s="16">
        <v>2.77</v>
      </c>
      <c r="AQ66" s="17">
        <v>26.16</v>
      </c>
      <c r="AR66" s="17">
        <v>4.4400000000000004</v>
      </c>
      <c r="AS66" s="17">
        <v>65.19</v>
      </c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</row>
    <row r="67" spans="1:73" ht="15" thickBot="1">
      <c r="A67" s="15">
        <v>46065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6">
        <v>5.63</v>
      </c>
      <c r="AO67" s="12"/>
      <c r="AP67" s="16">
        <v>2.64</v>
      </c>
      <c r="AQ67" s="12"/>
      <c r="AR67" s="12"/>
      <c r="AS67" s="16">
        <v>62.04</v>
      </c>
      <c r="AT67" s="17">
        <v>21.83</v>
      </c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</row>
    <row r="68" spans="1:73" ht="15" thickBot="1">
      <c r="A68" s="15">
        <v>46066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6">
        <v>5.91</v>
      </c>
      <c r="AO68" s="12"/>
      <c r="AP68" s="16">
        <v>2.68</v>
      </c>
      <c r="AQ68" s="12"/>
      <c r="AR68" s="12"/>
      <c r="AS68" s="16">
        <v>62.84</v>
      </c>
      <c r="AT68" s="16">
        <v>22.2</v>
      </c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</row>
    <row r="69" spans="1:73" ht="15" thickBot="1">
      <c r="A69" s="15">
        <v>46069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6">
        <v>6.07</v>
      </c>
      <c r="AO69" s="12"/>
      <c r="AP69" s="16">
        <v>2.54</v>
      </c>
      <c r="AQ69" s="12"/>
      <c r="AR69" s="12"/>
      <c r="AS69" s="16">
        <v>61.09</v>
      </c>
      <c r="AT69" s="16">
        <v>27.85</v>
      </c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</row>
    <row r="70" spans="1:73" ht="15" thickBot="1">
      <c r="A70" s="15">
        <v>46070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6">
        <v>6.07</v>
      </c>
      <c r="AO70" s="12"/>
      <c r="AP70" s="17">
        <v>2.52</v>
      </c>
      <c r="AQ70" s="12"/>
      <c r="AR70" s="12"/>
      <c r="AS70" s="17">
        <v>59.4</v>
      </c>
      <c r="AT70" s="16">
        <v>27.85</v>
      </c>
      <c r="AU70" s="16">
        <v>12.19</v>
      </c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</row>
    <row r="71" spans="1:73" ht="15" thickBot="1">
      <c r="A71" s="15">
        <v>46071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6">
        <v>6.46</v>
      </c>
      <c r="AO71" s="12"/>
      <c r="AP71" s="12"/>
      <c r="AQ71" s="12"/>
      <c r="AR71" s="12"/>
      <c r="AS71" s="12"/>
      <c r="AT71" s="16">
        <v>29.03</v>
      </c>
      <c r="AU71" s="16">
        <v>12.44</v>
      </c>
      <c r="AV71" s="17">
        <v>62.61</v>
      </c>
      <c r="AW71" s="17">
        <v>18.09</v>
      </c>
      <c r="AX71" s="17">
        <v>168</v>
      </c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</row>
    <row r="72" spans="1:73" ht="15" thickBot="1">
      <c r="A72" s="15">
        <v>46072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6">
        <v>5.91</v>
      </c>
      <c r="AO72" s="12"/>
      <c r="AP72" s="12"/>
      <c r="AQ72" s="12"/>
      <c r="AR72" s="12"/>
      <c r="AS72" s="12"/>
      <c r="AT72" s="16">
        <v>29.18</v>
      </c>
      <c r="AU72" s="16">
        <v>13.88</v>
      </c>
      <c r="AV72" s="16">
        <v>62.57</v>
      </c>
      <c r="AW72" s="16">
        <v>18.190000000000001</v>
      </c>
      <c r="AX72" s="16">
        <v>170.74</v>
      </c>
      <c r="AY72" s="17">
        <v>25.85</v>
      </c>
      <c r="AZ72" s="17">
        <v>13.48</v>
      </c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</row>
    <row r="73" spans="1:73" ht="15" thickBot="1">
      <c r="A73" s="15">
        <v>46073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6">
        <v>5.98</v>
      </c>
      <c r="AO73" s="12"/>
      <c r="AP73" s="12"/>
      <c r="AQ73" s="12"/>
      <c r="AR73" s="12"/>
      <c r="AS73" s="12"/>
      <c r="AT73" s="16">
        <v>29.27</v>
      </c>
      <c r="AU73" s="16">
        <v>13.65</v>
      </c>
      <c r="AV73" s="16">
        <v>64.34</v>
      </c>
      <c r="AW73" s="16">
        <v>17.55</v>
      </c>
      <c r="AX73" s="16">
        <v>163.19</v>
      </c>
      <c r="AY73" s="16">
        <v>28.51</v>
      </c>
      <c r="AZ73" s="16">
        <v>12.47</v>
      </c>
      <c r="BA73" s="17">
        <v>61.27</v>
      </c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</row>
    <row r="74" spans="1:73" ht="15" thickBot="1">
      <c r="A74" s="15">
        <v>46076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6">
        <v>5.83</v>
      </c>
      <c r="AO74" s="12"/>
      <c r="AP74" s="12"/>
      <c r="AQ74" s="12"/>
      <c r="AR74" s="12"/>
      <c r="AS74" s="12"/>
      <c r="AT74" s="16">
        <v>28.66</v>
      </c>
      <c r="AU74" s="16">
        <v>13.99</v>
      </c>
      <c r="AV74" s="16">
        <v>65.55</v>
      </c>
      <c r="AW74" s="16">
        <v>18.14</v>
      </c>
      <c r="AX74" s="16">
        <v>170.88</v>
      </c>
      <c r="AY74" s="16">
        <v>27.87</v>
      </c>
      <c r="AZ74" s="16">
        <v>12.45</v>
      </c>
      <c r="BA74" s="16">
        <v>59.81</v>
      </c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</row>
    <row r="75" spans="1:73" ht="15" thickBot="1">
      <c r="A75" s="15">
        <v>46077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6">
        <v>5.73</v>
      </c>
      <c r="AO75" s="12"/>
      <c r="AP75" s="12"/>
      <c r="AQ75" s="12"/>
      <c r="AR75" s="12"/>
      <c r="AS75" s="12"/>
      <c r="AT75" s="16">
        <v>29.08</v>
      </c>
      <c r="AU75" s="16">
        <v>14.27</v>
      </c>
      <c r="AV75" s="16">
        <v>67.88</v>
      </c>
      <c r="AW75" s="16">
        <v>18.899999999999999</v>
      </c>
      <c r="AX75" s="16">
        <v>179.4</v>
      </c>
      <c r="AY75" s="16">
        <v>27.91</v>
      </c>
      <c r="AZ75" s="16">
        <v>12.6</v>
      </c>
      <c r="BA75" s="16">
        <v>61.41</v>
      </c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</row>
    <row r="76" spans="1:73" ht="15" thickBot="1">
      <c r="A76" s="15">
        <v>46078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6">
        <v>5.57</v>
      </c>
      <c r="AO76" s="12"/>
      <c r="AP76" s="12"/>
      <c r="AQ76" s="12"/>
      <c r="AR76" s="12"/>
      <c r="AS76" s="12"/>
      <c r="AT76" s="16">
        <v>29.2</v>
      </c>
      <c r="AU76" s="16">
        <v>14.36</v>
      </c>
      <c r="AV76" s="16">
        <v>68.819999999999993</v>
      </c>
      <c r="AW76" s="17">
        <v>16.670000000000002</v>
      </c>
      <c r="AX76" s="16">
        <v>176.87</v>
      </c>
      <c r="AY76" s="16">
        <v>28.35</v>
      </c>
      <c r="AZ76" s="16">
        <v>16.37</v>
      </c>
      <c r="BA76" s="16">
        <v>64.900000000000006</v>
      </c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</row>
    <row r="77" spans="1:73" ht="15" thickBot="1">
      <c r="A77" s="15">
        <v>46079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6">
        <v>5.8</v>
      </c>
      <c r="AO77" s="12"/>
      <c r="AP77" s="12"/>
      <c r="AQ77" s="12"/>
      <c r="AR77" s="12"/>
      <c r="AS77" s="12"/>
      <c r="AT77" s="16">
        <v>28.86</v>
      </c>
      <c r="AU77" s="16">
        <v>15.21</v>
      </c>
      <c r="AV77" s="16">
        <v>68.38</v>
      </c>
      <c r="AW77" s="12"/>
      <c r="AX77" s="16">
        <v>173.7</v>
      </c>
      <c r="AY77" s="16">
        <v>27.89</v>
      </c>
      <c r="AZ77" s="16">
        <v>16.22</v>
      </c>
      <c r="BA77" s="16">
        <v>63.47</v>
      </c>
      <c r="BB77" s="17">
        <v>36.58</v>
      </c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</row>
    <row r="78" spans="1:73" ht="15" thickBot="1">
      <c r="A78" s="15">
        <v>46080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7">
        <v>5.51</v>
      </c>
      <c r="AO78" s="12"/>
      <c r="AP78" s="12"/>
      <c r="AQ78" s="12"/>
      <c r="AR78" s="12"/>
      <c r="AS78" s="12"/>
      <c r="AT78" s="16">
        <v>28.83</v>
      </c>
      <c r="AU78" s="16">
        <v>15.5</v>
      </c>
      <c r="AV78" s="16">
        <v>68.08</v>
      </c>
      <c r="AW78" s="12"/>
      <c r="AX78" s="16">
        <v>172.7</v>
      </c>
      <c r="AY78" s="16">
        <v>27.93</v>
      </c>
      <c r="AZ78" s="16">
        <v>14.41</v>
      </c>
      <c r="BA78" s="16">
        <v>62.08</v>
      </c>
      <c r="BB78" s="16">
        <v>36.450000000000003</v>
      </c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</row>
    <row r="79" spans="1:73" ht="15" thickBot="1">
      <c r="A79" s="15">
        <v>46083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6">
        <v>28.83</v>
      </c>
      <c r="AU79" s="16">
        <v>15.99</v>
      </c>
      <c r="AV79" s="16">
        <v>68.290000000000006</v>
      </c>
      <c r="AW79" s="12"/>
      <c r="AX79" s="16">
        <v>169.5</v>
      </c>
      <c r="AY79" s="16">
        <v>26.86</v>
      </c>
      <c r="AZ79" s="16">
        <v>14.02</v>
      </c>
      <c r="BA79" s="16">
        <v>64.08</v>
      </c>
      <c r="BB79" s="16">
        <v>36.14</v>
      </c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</row>
    <row r="80" spans="1:73" ht="15" thickBot="1">
      <c r="A80" s="15">
        <v>46084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7">
        <v>27.88</v>
      </c>
      <c r="AU80" s="16">
        <v>15.73</v>
      </c>
      <c r="AV80" s="17">
        <v>63.15</v>
      </c>
      <c r="AW80" s="12"/>
      <c r="AX80" s="17">
        <v>156.07</v>
      </c>
      <c r="AY80" s="17">
        <v>25.33</v>
      </c>
      <c r="AZ80" s="17">
        <v>12.76</v>
      </c>
      <c r="BA80" s="17">
        <v>60.4</v>
      </c>
      <c r="BB80" s="16">
        <v>36.82</v>
      </c>
      <c r="BC80" s="17">
        <v>18.25</v>
      </c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</row>
    <row r="81" spans="1:73" ht="15" thickBot="1">
      <c r="A81" s="15">
        <v>46085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6">
        <v>16.3</v>
      </c>
      <c r="AV81" s="12"/>
      <c r="AW81" s="12"/>
      <c r="AX81" s="12"/>
      <c r="AY81" s="12"/>
      <c r="AZ81" s="12"/>
      <c r="BA81" s="12"/>
      <c r="BB81" s="16">
        <v>39.17</v>
      </c>
      <c r="BC81" s="16">
        <v>18.62</v>
      </c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</row>
    <row r="82" spans="1:73" ht="15" thickBot="1">
      <c r="A82" s="15">
        <v>46086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6">
        <v>15.6</v>
      </c>
      <c r="AV82" s="12"/>
      <c r="AW82" s="12"/>
      <c r="AX82" s="12"/>
      <c r="AY82" s="12"/>
      <c r="AZ82" s="12"/>
      <c r="BA82" s="12"/>
      <c r="BB82" s="16">
        <v>39.67</v>
      </c>
      <c r="BC82" s="16">
        <v>17.670000000000002</v>
      </c>
      <c r="BD82" s="17">
        <v>3.5</v>
      </c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</row>
    <row r="83" spans="1:73" ht="15" thickBot="1">
      <c r="A83" s="15">
        <v>46087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6">
        <v>15.74</v>
      </c>
      <c r="AV83" s="12"/>
      <c r="AW83" s="12"/>
      <c r="AX83" s="12"/>
      <c r="AY83" s="12"/>
      <c r="AZ83" s="12"/>
      <c r="BA83" s="12"/>
      <c r="BB83" s="16">
        <v>42.02</v>
      </c>
      <c r="BC83" s="16">
        <v>17.63</v>
      </c>
      <c r="BD83" s="16">
        <v>4.3899999999999997</v>
      </c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</row>
    <row r="84" spans="1:73" ht="15" thickBot="1">
      <c r="A84" s="15">
        <v>46090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6">
        <v>15.31</v>
      </c>
      <c r="AV84" s="12"/>
      <c r="AW84" s="12"/>
      <c r="AX84" s="12"/>
      <c r="AY84" s="12"/>
      <c r="AZ84" s="12"/>
      <c r="BA84" s="12"/>
      <c r="BB84" s="16">
        <v>41.84</v>
      </c>
      <c r="BC84" s="16">
        <v>18.079999999999998</v>
      </c>
      <c r="BD84" s="16">
        <v>4.37</v>
      </c>
      <c r="BE84" s="16">
        <v>94.77</v>
      </c>
      <c r="BF84" s="16">
        <v>30.63</v>
      </c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</row>
    <row r="85" spans="1:73" ht="15" thickBot="1">
      <c r="A85" s="15">
        <v>46091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6">
        <v>14.91</v>
      </c>
      <c r="AV85" s="12"/>
      <c r="AW85" s="12"/>
      <c r="AX85" s="12"/>
      <c r="AY85" s="12"/>
      <c r="AZ85" s="12"/>
      <c r="BA85" s="12"/>
      <c r="BB85" s="16">
        <v>40.69</v>
      </c>
      <c r="BC85" s="16">
        <v>17.68</v>
      </c>
      <c r="BD85" s="16">
        <v>4.5999999999999996</v>
      </c>
      <c r="BE85" s="16">
        <v>82.1</v>
      </c>
      <c r="BF85" s="16">
        <v>33.4</v>
      </c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</row>
    <row r="86" spans="1:73" ht="15" thickBot="1">
      <c r="A86" s="15">
        <v>46092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6">
        <v>14.31</v>
      </c>
      <c r="AV86" s="12"/>
      <c r="AW86" s="12"/>
      <c r="AX86" s="12"/>
      <c r="AY86" s="12"/>
      <c r="AZ86" s="12"/>
      <c r="BA86" s="12"/>
      <c r="BB86" s="16">
        <v>38.869999999999997</v>
      </c>
      <c r="BC86" s="16">
        <v>18.45</v>
      </c>
      <c r="BD86" s="16">
        <v>4.58</v>
      </c>
      <c r="BE86" s="16">
        <v>86.07</v>
      </c>
      <c r="BF86" s="16">
        <v>33.57</v>
      </c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</row>
    <row r="87" spans="1:73" ht="15" thickBot="1">
      <c r="A87" s="15">
        <v>46093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6">
        <v>13.95</v>
      </c>
      <c r="AV87" s="12"/>
      <c r="AW87" s="12"/>
      <c r="AX87" s="12"/>
      <c r="AY87" s="12"/>
      <c r="AZ87" s="12"/>
      <c r="BA87" s="12"/>
      <c r="BB87" s="16">
        <v>38.06</v>
      </c>
      <c r="BC87" s="16">
        <v>17.64</v>
      </c>
      <c r="BD87" s="16">
        <v>4.75</v>
      </c>
      <c r="BE87" s="16">
        <v>94.43</v>
      </c>
      <c r="BF87" s="16">
        <v>33.42</v>
      </c>
      <c r="BG87" s="17">
        <v>12.52</v>
      </c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</row>
    <row r="88" spans="1:73" ht="15" thickBot="1">
      <c r="A88" s="15">
        <v>46094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6">
        <v>13.49</v>
      </c>
      <c r="AV88" s="12"/>
      <c r="AW88" s="12"/>
      <c r="AX88" s="12"/>
      <c r="AY88" s="12"/>
      <c r="AZ88" s="12"/>
      <c r="BA88" s="12"/>
      <c r="BB88" s="16">
        <v>37.78</v>
      </c>
      <c r="BC88" s="16">
        <v>17.600000000000001</v>
      </c>
      <c r="BD88" s="16">
        <v>4.66</v>
      </c>
      <c r="BE88" s="16">
        <v>96.84</v>
      </c>
      <c r="BF88" s="16">
        <v>30.5</v>
      </c>
      <c r="BG88" s="16">
        <v>12.03</v>
      </c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</row>
    <row r="89" spans="1:73" ht="15" thickBot="1">
      <c r="A89" s="15">
        <v>46097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6">
        <v>14.03</v>
      </c>
      <c r="AV89" s="12"/>
      <c r="AW89" s="12"/>
      <c r="AX89" s="12"/>
      <c r="AY89" s="12"/>
      <c r="AZ89" s="12"/>
      <c r="BA89" s="12"/>
      <c r="BB89" s="16">
        <v>37.380000000000003</v>
      </c>
      <c r="BC89" s="16">
        <v>17.690000000000001</v>
      </c>
      <c r="BD89" s="16">
        <v>4.3099999999999996</v>
      </c>
      <c r="BE89" s="16">
        <v>92.46</v>
      </c>
      <c r="BF89" s="16">
        <v>30.56</v>
      </c>
      <c r="BG89" s="16">
        <v>11.8</v>
      </c>
      <c r="BH89" s="17">
        <v>13.44</v>
      </c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</row>
    <row r="90" spans="1:73" ht="15" thickBot="1">
      <c r="A90" s="15">
        <v>46098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6">
        <v>13.44</v>
      </c>
      <c r="AV90" s="12"/>
      <c r="AW90" s="12"/>
      <c r="AX90" s="12"/>
      <c r="AY90" s="12"/>
      <c r="AZ90" s="12"/>
      <c r="BA90" s="12"/>
      <c r="BB90" s="16">
        <v>37.950000000000003</v>
      </c>
      <c r="BC90" s="16">
        <v>18.899999999999999</v>
      </c>
      <c r="BD90" s="16">
        <v>4.71</v>
      </c>
      <c r="BE90" s="16">
        <v>95.53</v>
      </c>
      <c r="BF90" s="16">
        <v>31.19</v>
      </c>
      <c r="BG90" s="16">
        <v>12.21</v>
      </c>
      <c r="BH90" s="16">
        <v>13.48</v>
      </c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</row>
    <row r="91" spans="1:73" ht="15" thickBot="1">
      <c r="A91" s="15">
        <v>46099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6">
        <v>13.13</v>
      </c>
      <c r="AV91" s="12"/>
      <c r="AW91" s="12"/>
      <c r="AX91" s="12"/>
      <c r="AY91" s="12"/>
      <c r="AZ91" s="12"/>
      <c r="BA91" s="12"/>
      <c r="BB91" s="16">
        <v>37.07</v>
      </c>
      <c r="BC91" s="16">
        <v>18.11</v>
      </c>
      <c r="BD91" s="16">
        <v>4.59</v>
      </c>
      <c r="BE91" s="16">
        <v>95.46</v>
      </c>
      <c r="BF91" s="16">
        <v>30.9</v>
      </c>
      <c r="BG91" s="16">
        <v>11.96</v>
      </c>
      <c r="BH91" s="16">
        <v>13.21</v>
      </c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</row>
    <row r="92" spans="1:73" ht="15" thickBot="1">
      <c r="A92" s="15">
        <v>46100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6">
        <v>13.08</v>
      </c>
      <c r="AV92" s="12"/>
      <c r="AW92" s="12"/>
      <c r="AX92" s="12"/>
      <c r="AY92" s="12"/>
      <c r="AZ92" s="12"/>
      <c r="BA92" s="12"/>
      <c r="BB92" s="16">
        <v>37.450000000000003</v>
      </c>
      <c r="BC92" s="17">
        <v>16.809999999999999</v>
      </c>
      <c r="BD92" s="16">
        <v>4.5199999999999996</v>
      </c>
      <c r="BE92" s="16">
        <v>95.55</v>
      </c>
      <c r="BF92" s="16">
        <v>31.17</v>
      </c>
      <c r="BG92" s="17">
        <v>11.38</v>
      </c>
      <c r="BH92" s="17">
        <v>12.86</v>
      </c>
      <c r="BI92" s="17">
        <v>38.15</v>
      </c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</row>
    <row r="93" spans="1:73" ht="15" thickBot="1">
      <c r="A93" s="15">
        <v>46101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6">
        <v>12.74</v>
      </c>
      <c r="AV93" s="12"/>
      <c r="AW93" s="12"/>
      <c r="AX93" s="12"/>
      <c r="AY93" s="12"/>
      <c r="AZ93" s="12"/>
      <c r="BA93" s="12"/>
      <c r="BB93" s="16">
        <v>37.630000000000003</v>
      </c>
      <c r="BC93" s="12"/>
      <c r="BD93" s="16">
        <v>4.16</v>
      </c>
      <c r="BE93" s="16">
        <v>98.23</v>
      </c>
      <c r="BF93" s="16">
        <v>29.1</v>
      </c>
      <c r="BG93" s="12"/>
      <c r="BH93" s="12"/>
      <c r="BI93" s="16">
        <v>37.630000000000003</v>
      </c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</row>
    <row r="94" spans="1:73" ht="15" thickBot="1">
      <c r="A94" s="15">
        <v>46104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6">
        <v>12.84</v>
      </c>
      <c r="AV94" s="12"/>
      <c r="AW94" s="12"/>
      <c r="AX94" s="12"/>
      <c r="AY94" s="12"/>
      <c r="AZ94" s="12"/>
      <c r="BA94" s="12"/>
      <c r="BB94" s="16">
        <v>38.64</v>
      </c>
      <c r="BC94" s="12"/>
      <c r="BD94" s="16">
        <v>4.13</v>
      </c>
      <c r="BE94" s="16">
        <v>88.13</v>
      </c>
      <c r="BF94" s="16">
        <v>30.1</v>
      </c>
      <c r="BG94" s="12"/>
      <c r="BH94" s="12"/>
      <c r="BI94" s="16">
        <v>38.64</v>
      </c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</row>
    <row r="95" spans="1:73" ht="15" thickBot="1">
      <c r="A95" s="15">
        <v>46105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6">
        <v>13.64</v>
      </c>
      <c r="AV95" s="12"/>
      <c r="AW95" s="12"/>
      <c r="AX95" s="12"/>
      <c r="AY95" s="12"/>
      <c r="AZ95" s="12"/>
      <c r="BA95" s="12"/>
      <c r="BB95" s="16">
        <v>36.71</v>
      </c>
      <c r="BC95" s="12"/>
      <c r="BD95" s="16">
        <v>4.3099999999999996</v>
      </c>
      <c r="BE95" s="16">
        <v>92.35</v>
      </c>
      <c r="BF95" s="16">
        <v>28.87</v>
      </c>
      <c r="BG95" s="12"/>
      <c r="BH95" s="12"/>
      <c r="BI95" s="17">
        <v>36.79</v>
      </c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</row>
    <row r="96" spans="1:73" ht="15" thickBot="1">
      <c r="A96" s="15">
        <v>46106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6">
        <v>14.06</v>
      </c>
      <c r="AV96" s="12"/>
      <c r="AW96" s="12"/>
      <c r="AX96" s="12"/>
      <c r="AY96" s="12"/>
      <c r="AZ96" s="12"/>
      <c r="BA96" s="12"/>
      <c r="BB96" s="16">
        <v>35.69</v>
      </c>
      <c r="BC96" s="12"/>
      <c r="BD96" s="16">
        <v>4.38</v>
      </c>
      <c r="BE96" s="16">
        <v>90.32</v>
      </c>
      <c r="BF96" s="16">
        <v>29.9</v>
      </c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</row>
    <row r="97" spans="1:105" ht="15" thickBot="1">
      <c r="A97" s="15">
        <v>46107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6">
        <v>13.67</v>
      </c>
      <c r="AV97" s="12"/>
      <c r="AW97" s="12"/>
      <c r="AX97" s="12"/>
      <c r="AY97" s="12"/>
      <c r="AZ97" s="12"/>
      <c r="BA97" s="12"/>
      <c r="BB97" s="16">
        <v>37.520000000000003</v>
      </c>
      <c r="BC97" s="12"/>
      <c r="BD97" s="16">
        <v>4.43</v>
      </c>
      <c r="BE97" s="16">
        <v>94.48</v>
      </c>
      <c r="BF97" s="16">
        <v>29.95</v>
      </c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</row>
    <row r="98" spans="1:105" ht="15" thickBot="1">
      <c r="A98" s="15">
        <v>46108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6">
        <v>12.85</v>
      </c>
      <c r="AV98" s="12"/>
      <c r="AW98" s="12"/>
      <c r="AX98" s="12"/>
      <c r="AY98" s="12"/>
      <c r="AZ98" s="12"/>
      <c r="BA98" s="12"/>
      <c r="BB98" s="16">
        <v>35.36</v>
      </c>
      <c r="BC98" s="12"/>
      <c r="BD98" s="16">
        <v>4.51</v>
      </c>
      <c r="BE98" s="16">
        <v>99.64</v>
      </c>
      <c r="BF98" s="16">
        <v>28.9</v>
      </c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</row>
    <row r="99" spans="1:105" ht="15" thickBot="1">
      <c r="A99" s="15">
        <v>46111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6">
        <v>13.42</v>
      </c>
      <c r="AV99" s="12"/>
      <c r="AW99" s="12"/>
      <c r="AX99" s="12"/>
      <c r="AY99" s="12"/>
      <c r="AZ99" s="12"/>
      <c r="BA99" s="12"/>
      <c r="BB99" s="16">
        <v>36.22</v>
      </c>
      <c r="BC99" s="12"/>
      <c r="BD99" s="16">
        <v>4.59</v>
      </c>
      <c r="BE99" s="16">
        <v>102.88</v>
      </c>
      <c r="BF99" s="16">
        <v>27.77</v>
      </c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</row>
    <row r="100" spans="1:105" ht="15" thickBot="1">
      <c r="A100" s="15">
        <v>46112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6">
        <v>14.21</v>
      </c>
      <c r="AV100" s="12"/>
      <c r="AW100" s="12"/>
      <c r="AX100" s="12"/>
      <c r="AY100" s="12"/>
      <c r="AZ100" s="12"/>
      <c r="BA100" s="12"/>
      <c r="BB100" s="16">
        <v>37.19</v>
      </c>
      <c r="BC100" s="12"/>
      <c r="BD100" s="16">
        <v>4.84</v>
      </c>
      <c r="BE100" s="16">
        <v>101.38</v>
      </c>
      <c r="BF100" s="16">
        <v>30.4</v>
      </c>
      <c r="BG100" s="12"/>
      <c r="BH100" s="12"/>
      <c r="BI100" s="12"/>
      <c r="BJ100" s="16">
        <v>99.05</v>
      </c>
      <c r="BK100" s="16">
        <v>166.09</v>
      </c>
      <c r="BL100" s="16">
        <v>5.94</v>
      </c>
      <c r="BM100" s="12"/>
      <c r="BN100" s="12"/>
      <c r="BO100" s="12"/>
      <c r="BP100" s="12"/>
      <c r="BQ100" s="12"/>
      <c r="BR100" s="12"/>
      <c r="BS100" s="12"/>
      <c r="BT100" s="12"/>
      <c r="BU100" s="12"/>
    </row>
    <row r="101" spans="1:105" ht="15" thickBot="1">
      <c r="A101" s="15">
        <v>46113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6">
        <v>13.94</v>
      </c>
      <c r="AV101" s="12"/>
      <c r="AW101" s="12"/>
      <c r="AX101" s="12"/>
      <c r="AY101" s="12"/>
      <c r="AZ101" s="12"/>
      <c r="BA101" s="12"/>
      <c r="BB101" s="16">
        <v>38.130000000000003</v>
      </c>
      <c r="BC101" s="12"/>
      <c r="BD101" s="16">
        <v>4.79</v>
      </c>
      <c r="BE101" s="16">
        <v>100.12</v>
      </c>
      <c r="BF101" s="16">
        <v>30.12</v>
      </c>
      <c r="BG101" s="12"/>
      <c r="BH101" s="12"/>
      <c r="BI101" s="12"/>
      <c r="BJ101" s="16">
        <v>106.71</v>
      </c>
      <c r="BK101" s="16">
        <v>169.63</v>
      </c>
      <c r="BL101" s="16">
        <v>5.6</v>
      </c>
      <c r="BM101" s="16">
        <v>13.27</v>
      </c>
      <c r="BN101" s="16">
        <v>20.239999999999998</v>
      </c>
      <c r="BO101" s="12"/>
      <c r="BP101" s="12"/>
      <c r="BQ101" s="12"/>
      <c r="BR101" s="12"/>
      <c r="BS101" s="12"/>
      <c r="BT101" s="12"/>
      <c r="BU101" s="12"/>
    </row>
    <row r="102" spans="1:105" ht="15" thickBot="1">
      <c r="A102" s="15">
        <v>46114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6">
        <v>14.43</v>
      </c>
      <c r="AV102" s="12"/>
      <c r="AW102" s="12"/>
      <c r="AX102" s="12"/>
      <c r="AY102" s="12"/>
      <c r="AZ102" s="12"/>
      <c r="BA102" s="12"/>
      <c r="BB102" s="16">
        <v>37.78</v>
      </c>
      <c r="BC102" s="12"/>
      <c r="BD102" s="16">
        <v>4.67</v>
      </c>
      <c r="BE102" s="16">
        <v>111.54</v>
      </c>
      <c r="BF102" s="16">
        <v>32.11</v>
      </c>
      <c r="BG102" s="12"/>
      <c r="BH102" s="12"/>
      <c r="BI102" s="12"/>
      <c r="BJ102" s="16">
        <v>107.11</v>
      </c>
      <c r="BK102" s="16">
        <v>171.64</v>
      </c>
      <c r="BL102" s="16">
        <v>6.11</v>
      </c>
      <c r="BM102" s="16">
        <v>13.13</v>
      </c>
      <c r="BN102" s="16">
        <v>23.99</v>
      </c>
      <c r="BO102" s="12"/>
      <c r="BP102" s="12"/>
      <c r="BQ102" s="12"/>
      <c r="BR102" s="12"/>
      <c r="BS102" s="12"/>
      <c r="BT102" s="12"/>
      <c r="BU102" s="12"/>
    </row>
    <row r="103" spans="1:105" ht="15" thickBot="1">
      <c r="A103" s="15">
        <v>46115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6">
        <v>14.92</v>
      </c>
      <c r="AV103" s="12"/>
      <c r="AW103" s="12"/>
      <c r="AX103" s="12"/>
      <c r="AY103" s="12"/>
      <c r="AZ103" s="12"/>
      <c r="BA103" s="12"/>
      <c r="BB103" s="16">
        <v>38.08</v>
      </c>
      <c r="BC103" s="12"/>
      <c r="BD103" s="16">
        <v>4.58</v>
      </c>
      <c r="BE103" s="12"/>
      <c r="BF103" s="16">
        <v>31.68</v>
      </c>
      <c r="BG103" s="12"/>
      <c r="BH103" s="12"/>
      <c r="BI103" s="12"/>
      <c r="BJ103" s="16">
        <v>109.51</v>
      </c>
      <c r="BK103" s="16">
        <v>170.45</v>
      </c>
      <c r="BL103" s="12"/>
      <c r="BM103" s="16">
        <v>13.3</v>
      </c>
      <c r="BN103" s="16">
        <v>22.92</v>
      </c>
      <c r="BO103" s="12"/>
      <c r="BP103" s="12"/>
      <c r="BQ103" s="12"/>
      <c r="BR103" s="12"/>
      <c r="BS103" s="12"/>
      <c r="BT103" s="12"/>
      <c r="BU103" s="12"/>
    </row>
    <row r="104" spans="1:105" ht="15" thickBot="1">
      <c r="A104" s="15">
        <v>46118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6">
        <v>14.92</v>
      </c>
      <c r="AV104" s="12"/>
      <c r="AW104" s="12"/>
      <c r="AX104" s="12"/>
      <c r="AY104" s="12"/>
      <c r="AZ104" s="12"/>
      <c r="BA104" s="12"/>
      <c r="BB104" s="16">
        <v>38.08</v>
      </c>
      <c r="BC104" s="12"/>
      <c r="BD104" s="16">
        <v>4.58</v>
      </c>
      <c r="BE104" s="12"/>
      <c r="BF104" s="16">
        <v>31.68</v>
      </c>
      <c r="BG104" s="12"/>
      <c r="BH104" s="12"/>
      <c r="BI104" s="12"/>
      <c r="BJ104" s="16">
        <v>109.51</v>
      </c>
      <c r="BK104" s="16">
        <v>170.45</v>
      </c>
      <c r="BL104" s="12"/>
      <c r="BM104" s="16">
        <v>13.3</v>
      </c>
      <c r="BN104" s="16">
        <v>22.92</v>
      </c>
      <c r="BO104" s="16">
        <v>6.08</v>
      </c>
      <c r="BP104" s="16">
        <v>15.55</v>
      </c>
      <c r="BQ104" s="16">
        <v>9.4700000000000006</v>
      </c>
      <c r="BR104" s="12"/>
      <c r="BS104" s="12"/>
      <c r="BT104" s="12"/>
      <c r="BU104" s="12"/>
    </row>
    <row r="105" spans="1:105" ht="15" thickBot="1">
      <c r="A105" s="15">
        <v>46119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6">
        <v>14.86</v>
      </c>
      <c r="AV105" s="12"/>
      <c r="AW105" s="12"/>
      <c r="AX105" s="12"/>
      <c r="AY105" s="12"/>
      <c r="AZ105" s="12"/>
      <c r="BA105" s="12"/>
      <c r="BB105" s="16">
        <v>37.97</v>
      </c>
      <c r="BC105" s="12"/>
      <c r="BD105" s="16">
        <v>4.41</v>
      </c>
      <c r="BE105" s="12"/>
      <c r="BF105" s="16">
        <v>31.97</v>
      </c>
      <c r="BG105" s="12"/>
      <c r="BH105" s="12"/>
      <c r="BI105" s="12"/>
      <c r="BJ105" s="16">
        <v>109.38</v>
      </c>
      <c r="BK105" s="16">
        <v>170.4</v>
      </c>
      <c r="BL105" s="12"/>
      <c r="BM105" s="16">
        <v>13.55</v>
      </c>
      <c r="BN105" s="16">
        <v>22.73</v>
      </c>
      <c r="BO105" s="16">
        <v>5.96</v>
      </c>
      <c r="BP105" s="16">
        <v>16.57</v>
      </c>
      <c r="BQ105" s="16">
        <v>9.59</v>
      </c>
      <c r="BR105" s="12"/>
      <c r="BS105" s="12"/>
      <c r="BT105" s="12"/>
      <c r="BU105" s="12"/>
    </row>
    <row r="106" spans="1:105" ht="15" thickBot="1">
      <c r="A106" s="15">
        <v>46120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6">
        <v>14.96</v>
      </c>
      <c r="AV106" s="12"/>
      <c r="AW106" s="12"/>
      <c r="AX106" s="12"/>
      <c r="AY106" s="12"/>
      <c r="AZ106" s="12"/>
      <c r="BA106" s="12"/>
      <c r="BB106" s="16">
        <v>37.479999999999997</v>
      </c>
      <c r="BC106" s="12"/>
      <c r="BD106" s="16">
        <v>4.37</v>
      </c>
      <c r="BE106" s="12"/>
      <c r="BF106" s="16">
        <v>31.6</v>
      </c>
      <c r="BG106" s="12"/>
      <c r="BH106" s="12"/>
      <c r="BI106" s="12"/>
      <c r="BJ106" s="16">
        <v>114.45</v>
      </c>
      <c r="BK106" s="16">
        <v>177.29</v>
      </c>
      <c r="BL106" s="12"/>
      <c r="BM106" s="16">
        <v>13.87</v>
      </c>
      <c r="BN106" s="16">
        <v>23.39</v>
      </c>
      <c r="BO106" s="12"/>
      <c r="BP106" s="16">
        <v>18.05</v>
      </c>
      <c r="BQ106" s="16">
        <v>9.7799999999999994</v>
      </c>
      <c r="BR106" s="12"/>
      <c r="BS106" s="12"/>
      <c r="BT106" s="12"/>
      <c r="BU106" s="12"/>
    </row>
    <row r="107" spans="1:105" ht="15" thickBot="1">
      <c r="A107" s="15">
        <v>46121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6">
        <v>15.21</v>
      </c>
      <c r="AV107" s="12"/>
      <c r="AW107" s="12"/>
      <c r="AX107" s="12"/>
      <c r="AY107" s="12"/>
      <c r="AZ107" s="12"/>
      <c r="BA107" s="12"/>
      <c r="BB107" s="16">
        <v>36.92</v>
      </c>
      <c r="BC107" s="12"/>
      <c r="BD107" s="16">
        <v>4.87</v>
      </c>
      <c r="BE107" s="12"/>
      <c r="BF107" s="16">
        <v>31.61</v>
      </c>
      <c r="BG107" s="12"/>
      <c r="BH107" s="12"/>
      <c r="BI107" s="12"/>
      <c r="BJ107" s="16">
        <v>119.93</v>
      </c>
      <c r="BK107" s="16">
        <v>182.22</v>
      </c>
      <c r="BL107" s="12"/>
      <c r="BM107" s="16">
        <v>13.83</v>
      </c>
      <c r="BN107" s="16">
        <v>21.97</v>
      </c>
      <c r="BO107" s="12"/>
      <c r="BP107" s="16">
        <v>19.03</v>
      </c>
      <c r="BQ107" s="16">
        <v>9.89</v>
      </c>
      <c r="BR107" s="16">
        <v>6.08</v>
      </c>
      <c r="BS107" s="12"/>
      <c r="BT107" s="12"/>
      <c r="BU107" s="12"/>
    </row>
    <row r="108" spans="1:105" ht="15" thickBot="1">
      <c r="A108" s="15">
        <v>46122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6">
        <v>14.54</v>
      </c>
      <c r="AV108" s="12"/>
      <c r="AW108" s="12"/>
      <c r="AX108" s="12"/>
      <c r="AY108" s="12"/>
      <c r="AZ108" s="12"/>
      <c r="BA108" s="12"/>
      <c r="BB108" s="16"/>
      <c r="BC108" s="12"/>
      <c r="BD108" s="16">
        <v>4.8</v>
      </c>
      <c r="BE108" s="12"/>
      <c r="BF108" s="16">
        <v>31.2</v>
      </c>
      <c r="BG108" s="12"/>
      <c r="BH108" s="12"/>
      <c r="BI108" s="12"/>
      <c r="BJ108" s="16">
        <v>128.49</v>
      </c>
      <c r="BK108" s="16">
        <v>172.65</v>
      </c>
      <c r="BL108" s="12"/>
      <c r="BM108" s="16">
        <v>13.49</v>
      </c>
      <c r="BN108" s="16">
        <v>23.57</v>
      </c>
      <c r="BO108" s="12"/>
      <c r="BP108" s="16">
        <v>18.87</v>
      </c>
      <c r="BQ108" s="16">
        <v>9.56</v>
      </c>
      <c r="BR108" s="16">
        <v>7.04</v>
      </c>
      <c r="BS108" s="16">
        <v>148.93</v>
      </c>
      <c r="BT108" s="12"/>
      <c r="BU108" s="12"/>
    </row>
    <row r="109" spans="1:105" ht="15" thickBot="1">
      <c r="A109" s="15">
        <v>46125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6">
        <v>14.25</v>
      </c>
      <c r="AV109" s="12"/>
      <c r="AW109" s="12"/>
      <c r="AX109" s="12"/>
      <c r="AY109" s="12"/>
      <c r="AZ109" s="12"/>
      <c r="BA109" s="12"/>
      <c r="BB109" s="12"/>
      <c r="BC109" s="12"/>
      <c r="BD109" s="16">
        <v>5.0999999999999996</v>
      </c>
      <c r="BE109" s="12"/>
      <c r="BF109" s="16">
        <v>34.54</v>
      </c>
      <c r="BG109" s="12"/>
      <c r="BH109" s="12"/>
      <c r="BI109" s="12"/>
      <c r="BJ109" s="16">
        <v>131.30000000000001</v>
      </c>
      <c r="BK109" s="16">
        <v>182.7</v>
      </c>
      <c r="BL109" s="12"/>
      <c r="BM109" s="16">
        <v>14.26</v>
      </c>
      <c r="BN109" s="16">
        <v>24.41</v>
      </c>
      <c r="BO109" s="12"/>
      <c r="BP109" s="16">
        <v>19.45</v>
      </c>
      <c r="BQ109" s="16">
        <v>9.41</v>
      </c>
      <c r="BR109" s="16">
        <v>7.3</v>
      </c>
      <c r="BS109" s="16">
        <v>157.58000000000001</v>
      </c>
      <c r="BT109" s="16">
        <v>84.21</v>
      </c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2"/>
      <c r="DA109" s="12"/>
    </row>
    <row r="110" spans="1:105" ht="15" thickBot="1">
      <c r="A110" s="15">
        <v>46126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6">
        <v>14.35</v>
      </c>
      <c r="AV110" s="12"/>
      <c r="AW110" s="12"/>
      <c r="AX110" s="12"/>
      <c r="AY110" s="12"/>
      <c r="AZ110" s="12"/>
      <c r="BA110" s="12"/>
      <c r="BB110" s="12"/>
      <c r="BC110" s="12"/>
      <c r="BD110" s="16">
        <v>4.87</v>
      </c>
      <c r="BE110" s="12"/>
      <c r="BF110" s="16">
        <v>34.72</v>
      </c>
      <c r="BG110" s="12"/>
      <c r="BH110" s="12"/>
      <c r="BI110" s="12"/>
      <c r="BJ110" s="16">
        <v>133.83000000000001</v>
      </c>
      <c r="BK110" s="16">
        <v>197.82</v>
      </c>
      <c r="BL110" s="12"/>
      <c r="BM110" s="16">
        <v>14.78</v>
      </c>
      <c r="BN110" s="16">
        <v>23.67</v>
      </c>
      <c r="BO110" s="12"/>
      <c r="BP110" s="16">
        <v>20.95</v>
      </c>
      <c r="BQ110" s="16">
        <v>9.67</v>
      </c>
      <c r="BR110" s="16">
        <v>6.71</v>
      </c>
      <c r="BS110" s="16">
        <v>161.22</v>
      </c>
      <c r="BT110" s="16">
        <v>88.18</v>
      </c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2"/>
      <c r="DA110" s="12"/>
    </row>
    <row r="111" spans="1:105" ht="15" thickBot="1">
      <c r="A111" s="15">
        <v>46127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6">
        <v>14.95</v>
      </c>
      <c r="AV111" s="12"/>
      <c r="AW111" s="12"/>
      <c r="AX111" s="12"/>
      <c r="AY111" s="12"/>
      <c r="AZ111" s="12"/>
      <c r="BA111" s="12"/>
      <c r="BB111" s="12"/>
      <c r="BC111" s="12"/>
      <c r="BD111" s="16">
        <v>4.9000000000000004</v>
      </c>
      <c r="BE111" s="12"/>
      <c r="BF111" s="16">
        <v>35.04</v>
      </c>
      <c r="BG111" s="12"/>
      <c r="BH111" s="12"/>
      <c r="BI111" s="12"/>
      <c r="BJ111" s="16">
        <v>134.6</v>
      </c>
      <c r="BK111" s="16">
        <v>201.1</v>
      </c>
      <c r="BL111" s="12"/>
      <c r="BM111" s="16">
        <v>14.94</v>
      </c>
      <c r="BN111" s="16">
        <v>23.88</v>
      </c>
      <c r="BO111" s="12"/>
      <c r="BP111" s="16">
        <v>19.670000000000002</v>
      </c>
      <c r="BQ111" s="16">
        <v>9.44</v>
      </c>
      <c r="BR111" s="16">
        <v>6.97</v>
      </c>
      <c r="BS111" s="16">
        <v>159.34</v>
      </c>
      <c r="BT111" s="16">
        <v>88.44</v>
      </c>
      <c r="BU111" s="16">
        <v>51.1</v>
      </c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</row>
    <row r="112" spans="1:105" ht="15" thickBot="1">
      <c r="A112" s="15">
        <v>46128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6">
        <v>14.74</v>
      </c>
      <c r="AV112" s="12"/>
      <c r="AW112" s="12"/>
      <c r="AX112" s="12"/>
      <c r="AY112" s="12"/>
      <c r="AZ112" s="12"/>
      <c r="BA112" s="12"/>
      <c r="BB112" s="12"/>
      <c r="BC112" s="12"/>
      <c r="BD112" s="16">
        <v>4.9400000000000004</v>
      </c>
      <c r="BE112" s="12"/>
      <c r="BF112" s="16">
        <v>34.590000000000003</v>
      </c>
      <c r="BG112" s="12"/>
      <c r="BH112" s="12"/>
      <c r="BI112" s="12"/>
      <c r="BJ112" s="16">
        <v>133.37</v>
      </c>
      <c r="BK112" s="16">
        <v>196.68</v>
      </c>
      <c r="BL112" s="12"/>
      <c r="BM112" s="16">
        <v>14.16</v>
      </c>
      <c r="BN112" s="16">
        <v>27.28</v>
      </c>
      <c r="BO112" s="12"/>
      <c r="BP112" s="16">
        <v>19.309999999999999</v>
      </c>
      <c r="BQ112" s="16">
        <v>9.52</v>
      </c>
      <c r="BR112" s="16">
        <v>7.34</v>
      </c>
      <c r="BS112" s="16">
        <v>162.33000000000001</v>
      </c>
      <c r="BT112" s="16">
        <v>91.24</v>
      </c>
      <c r="BU112" s="16">
        <v>52.05</v>
      </c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</row>
    <row r="113" spans="1:105" ht="15" thickBot="1">
      <c r="A113" s="15">
        <v>46129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>
        <v>15.06</v>
      </c>
      <c r="AV113" s="12"/>
      <c r="AW113" s="12"/>
      <c r="AX113" s="12"/>
      <c r="AY113" s="12"/>
      <c r="AZ113" s="12"/>
      <c r="BA113" s="12"/>
      <c r="BB113" s="12"/>
      <c r="BC113" s="12"/>
      <c r="BD113" s="16">
        <v>4.9400000000000004</v>
      </c>
      <c r="BE113" s="12"/>
      <c r="BF113" s="16">
        <v>34.700000000000003</v>
      </c>
      <c r="BG113" s="12"/>
      <c r="BH113" s="12"/>
      <c r="BI113" s="12"/>
      <c r="BJ113" s="16">
        <v>139.69</v>
      </c>
      <c r="BK113" s="16">
        <v>210.82</v>
      </c>
      <c r="BL113" s="12"/>
      <c r="BM113" s="16">
        <v>14.95</v>
      </c>
      <c r="BN113" s="16">
        <v>27.58</v>
      </c>
      <c r="BO113" s="12"/>
      <c r="BP113" s="16">
        <v>20.64</v>
      </c>
      <c r="BQ113" s="16">
        <v>9.5</v>
      </c>
      <c r="BR113" s="16">
        <v>7.26</v>
      </c>
      <c r="BS113" s="16">
        <v>166.73</v>
      </c>
      <c r="BT113" s="16">
        <v>94.78</v>
      </c>
      <c r="BU113" s="16">
        <v>53.03</v>
      </c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</row>
    <row r="114" spans="1:105" ht="15" thickBot="1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BT114" s="12"/>
      <c r="BU114" s="12"/>
    </row>
    <row r="115" spans="1:105" ht="15" thickBot="1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BT115" s="12"/>
      <c r="BU115" s="12"/>
    </row>
    <row r="116" spans="1:105" ht="15" thickBot="1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BT116" s="12"/>
      <c r="BU116" s="12"/>
    </row>
    <row r="117" spans="1:105" ht="15" thickBot="1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BT117" s="12"/>
      <c r="BU117" s="12"/>
    </row>
    <row r="118" spans="1:105" ht="15" thickBot="1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BT118" s="12"/>
      <c r="BU118" s="12"/>
    </row>
    <row r="119" spans="1:105" ht="15" thickBot="1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BT119" s="12"/>
      <c r="BU119" s="12"/>
    </row>
    <row r="120" spans="1:105" ht="15" thickBot="1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BT120" s="12"/>
      <c r="BU120" s="12"/>
    </row>
    <row r="121" spans="1:105" ht="15" thickBot="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BT121" s="12"/>
      <c r="BU121" s="12"/>
    </row>
    <row r="122" spans="1:105" ht="15" thickBot="1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BT122" s="12"/>
      <c r="BU122" s="12"/>
    </row>
    <row r="123" spans="1:105" ht="15" thickBot="1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BT123" s="12"/>
      <c r="BU123" s="12"/>
    </row>
    <row r="124" spans="1:105" ht="15" thickBot="1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BT124" s="12"/>
      <c r="BU124" s="12"/>
    </row>
    <row r="125" spans="1:105" ht="15" thickBot="1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BT125" s="12"/>
      <c r="BU125" s="12"/>
    </row>
    <row r="126" spans="1:105" ht="15" thickBot="1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BT126" s="12"/>
      <c r="BU126" s="12"/>
    </row>
    <row r="127" spans="1:105" ht="15" thickBot="1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BT127" s="12"/>
      <c r="BU127" s="12"/>
    </row>
    <row r="128" spans="1:105" ht="15" thickBot="1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BT128" s="12"/>
      <c r="BU128" s="12"/>
    </row>
    <row r="129" spans="1:73" ht="15" thickBot="1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BT129" s="12"/>
      <c r="BU129" s="12"/>
    </row>
    <row r="130" spans="1:73" ht="15" thickBot="1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BT130" s="12"/>
      <c r="BU130" s="12"/>
    </row>
    <row r="131" spans="1:73" ht="15" thickBot="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BT131" s="12"/>
      <c r="BU131" s="12"/>
    </row>
    <row r="132" spans="1:73" ht="15" thickBot="1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BT132" s="12"/>
      <c r="BU132" s="12"/>
    </row>
    <row r="133" spans="1:73" ht="15" thickBot="1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BT133" s="12"/>
      <c r="BU133" s="12"/>
    </row>
    <row r="134" spans="1:73" ht="15" thickBot="1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BT134" s="12"/>
      <c r="BU134" s="12"/>
    </row>
    <row r="135" spans="1:73" ht="15" thickBot="1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BT135" s="12"/>
      <c r="BU135" s="12"/>
    </row>
    <row r="136" spans="1:73" ht="15" thickBot="1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BT136" s="12"/>
      <c r="BU136" s="12"/>
    </row>
    <row r="137" spans="1:73" ht="15" thickBot="1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BT137" s="12"/>
      <c r="BU137" s="12"/>
    </row>
    <row r="138" spans="1:73" ht="15" thickBot="1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BT138" s="12"/>
      <c r="BU138" s="12"/>
    </row>
    <row r="139" spans="1:73" ht="15" thickBot="1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BT139" s="12"/>
      <c r="BU139" s="12"/>
    </row>
    <row r="140" spans="1:73" ht="15" thickBot="1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BT140" s="12"/>
      <c r="BU140" s="12"/>
    </row>
    <row r="141" spans="1:73" ht="15" thickBot="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BT141" s="12"/>
      <c r="BU141" s="12"/>
    </row>
    <row r="142" spans="1:73" ht="15" thickBot="1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BT142" s="12"/>
      <c r="BU142" s="12"/>
    </row>
    <row r="143" spans="1:73" ht="15" thickBot="1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BT143" s="12"/>
      <c r="BU143" s="12"/>
    </row>
    <row r="144" spans="1:73" ht="15" thickBot="1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BT144" s="12"/>
      <c r="BU144" s="12"/>
    </row>
    <row r="145" spans="1:73" ht="15" thickBot="1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BT145" s="12"/>
      <c r="BU145" s="12"/>
    </row>
    <row r="146" spans="1:73" ht="15" thickBot="1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BT146" s="12"/>
      <c r="BU146" s="12"/>
    </row>
    <row r="147" spans="1:73" ht="15" thickBot="1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BT147" s="12"/>
      <c r="BU147" s="12"/>
    </row>
    <row r="148" spans="1:73" ht="15" thickBot="1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BT148" s="12"/>
      <c r="BU148" s="12"/>
    </row>
    <row r="149" spans="1:73" ht="15" thickBot="1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BT149" s="12"/>
      <c r="BU149" s="12"/>
    </row>
    <row r="150" spans="1:73" ht="15" thickBot="1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BT150" s="12"/>
      <c r="BU150" s="12"/>
    </row>
    <row r="151" spans="1:73" ht="15" thickBot="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BT151" s="12"/>
      <c r="BU151" s="12"/>
    </row>
    <row r="152" spans="1:73" ht="15" thickBot="1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BT152" s="12"/>
      <c r="BU152" s="12"/>
    </row>
    <row r="153" spans="1:73" ht="15" thickBot="1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BT153" s="12"/>
      <c r="BU153" s="12"/>
    </row>
    <row r="154" spans="1:73" ht="15" thickBot="1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BT154" s="12"/>
      <c r="BU154" s="12"/>
    </row>
    <row r="155" spans="1:73" ht="15" thickBot="1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BT155" s="12"/>
      <c r="BU155" s="12"/>
    </row>
    <row r="156" spans="1:73" ht="15" thickBot="1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BT156" s="12"/>
      <c r="BU156" s="12"/>
    </row>
    <row r="157" spans="1:73" ht="15" thickBot="1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BT157" s="12"/>
      <c r="BU157" s="12"/>
    </row>
    <row r="158" spans="1:73" ht="15" thickBot="1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BT158" s="12"/>
      <c r="BU158" s="12"/>
    </row>
    <row r="159" spans="1:73" ht="15" thickBot="1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BT159" s="12"/>
      <c r="BU159" s="12"/>
    </row>
    <row r="160" spans="1:73" ht="15" thickBot="1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BT160" s="12"/>
      <c r="BU160" s="12"/>
    </row>
    <row r="161" spans="1:73" ht="15" thickBot="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BT161" s="12"/>
      <c r="BU161" s="12"/>
    </row>
    <row r="162" spans="1:73" ht="15" thickBot="1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BT162" s="12"/>
      <c r="BU162" s="12"/>
    </row>
    <row r="163" spans="1:73" ht="15" thickBot="1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BT163" s="12"/>
      <c r="BU163" s="12"/>
    </row>
    <row r="164" spans="1:73" ht="15" thickBot="1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BT164" s="12"/>
      <c r="BU164" s="12"/>
    </row>
    <row r="165" spans="1:73" ht="15" thickBot="1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BT165" s="12"/>
      <c r="BU165" s="12"/>
    </row>
    <row r="166" spans="1:73" ht="15" thickBot="1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BT166" s="12"/>
      <c r="BU166" s="12"/>
    </row>
    <row r="167" spans="1:73" ht="15" thickBot="1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BT167" s="12"/>
      <c r="BU167" s="12"/>
    </row>
    <row r="168" spans="1:73" ht="15" thickBot="1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BT168" s="12"/>
      <c r="BU168" s="12"/>
    </row>
    <row r="169" spans="1:73" ht="15" thickBot="1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BT169" s="12"/>
      <c r="BU169" s="12"/>
    </row>
    <row r="170" spans="1:73" ht="15" thickBot="1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BT170" s="12"/>
      <c r="BU170" s="12"/>
    </row>
    <row r="171" spans="1:73" ht="15" thickBot="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BT171" s="12"/>
      <c r="BU171" s="12"/>
    </row>
    <row r="172" spans="1:73" ht="15" thickBot="1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BT172" s="12"/>
      <c r="BU172" s="12"/>
    </row>
    <row r="173" spans="1:73" ht="15" thickBot="1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BT173" s="12"/>
      <c r="BU173" s="12"/>
    </row>
    <row r="174" spans="1:73" ht="15" thickBot="1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BT174" s="12"/>
      <c r="BU174" s="12"/>
    </row>
    <row r="175" spans="1:73" ht="15" thickBot="1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BT175" s="12"/>
      <c r="BU175" s="12"/>
    </row>
    <row r="176" spans="1:73" ht="15" thickBot="1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BT176" s="12"/>
      <c r="BU176" s="12"/>
    </row>
    <row r="177" spans="1:73" ht="15" thickBot="1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BT177" s="12"/>
      <c r="BU177" s="12"/>
    </row>
    <row r="178" spans="1:73" ht="15" thickBot="1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BT178" s="12"/>
      <c r="BU178" s="12"/>
    </row>
    <row r="179" spans="1:73" ht="15" thickBot="1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BT179" s="12"/>
      <c r="BU179" s="12"/>
    </row>
    <row r="180" spans="1:73" ht="15" thickBot="1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BT180" s="12"/>
      <c r="BU180" s="12"/>
    </row>
    <row r="181" spans="1:73" ht="15" thickBot="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BT181" s="12"/>
      <c r="BU181" s="12"/>
    </row>
    <row r="182" spans="1:73" ht="15" thickBot="1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BT182" s="12"/>
      <c r="BU182" s="12"/>
    </row>
    <row r="183" spans="1:73" ht="15" thickBot="1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BT183" s="12"/>
      <c r="BU183" s="12"/>
    </row>
    <row r="184" spans="1:73" ht="15" thickBot="1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BT184" s="12"/>
      <c r="BU184" s="12"/>
    </row>
    <row r="185" spans="1:73" ht="15" thickBot="1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BT185" s="12"/>
      <c r="BU185" s="12"/>
    </row>
    <row r="186" spans="1:73" ht="15" thickBot="1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BT186" s="12"/>
      <c r="BU186" s="12"/>
    </row>
    <row r="187" spans="1:73" ht="15" thickBot="1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BT187" s="12"/>
      <c r="BU187" s="12"/>
    </row>
    <row r="188" spans="1:73" ht="15" thickBot="1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BT188" s="12"/>
      <c r="BU188" s="12"/>
    </row>
    <row r="189" spans="1:73" ht="15" thickBot="1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BT189" s="12"/>
      <c r="BU189" s="12"/>
    </row>
    <row r="190" spans="1:73" ht="15" thickBot="1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BT190" s="12"/>
      <c r="BU190" s="12"/>
    </row>
    <row r="191" spans="1:73" ht="15" thickBot="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BT191" s="12"/>
      <c r="BU191" s="12"/>
    </row>
    <row r="192" spans="1:73" ht="15" thickBot="1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BT192" s="12"/>
      <c r="BU192" s="12"/>
    </row>
    <row r="193" spans="1:73" ht="15" thickBot="1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BT193" s="12"/>
      <c r="BU193" s="12"/>
    </row>
    <row r="194" spans="1:73" ht="15" thickBot="1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BT194" s="12"/>
      <c r="BU194" s="12"/>
    </row>
    <row r="195" spans="1:73" ht="15" thickBot="1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BT195" s="12"/>
      <c r="BU195" s="12"/>
    </row>
    <row r="196" spans="1:73" ht="15" thickBot="1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BT196" s="12"/>
      <c r="BU196" s="12"/>
    </row>
    <row r="197" spans="1:73" ht="15" thickBot="1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BT197" s="12"/>
      <c r="BU197" s="12"/>
    </row>
    <row r="198" spans="1:73" ht="15" thickBot="1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BT198" s="12"/>
      <c r="BU198" s="12"/>
    </row>
    <row r="199" spans="1:73" ht="15" thickBot="1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BT199" s="12"/>
      <c r="BU199" s="12"/>
    </row>
    <row r="200" spans="1:73" ht="15" thickBot="1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BT200" s="12"/>
      <c r="BU200" s="12"/>
    </row>
    <row r="201" spans="1:73" ht="15" thickBot="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BT201" s="12"/>
      <c r="BU201" s="12"/>
    </row>
    <row r="202" spans="1:73" ht="15" thickBot="1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BT202" s="12"/>
      <c r="BU202" s="12"/>
    </row>
    <row r="203" spans="1:73" ht="15" thickBot="1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BT203" s="12"/>
      <c r="BU203" s="12"/>
    </row>
    <row r="204" spans="1:73" ht="15" thickBot="1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BT204" s="12"/>
      <c r="BU204" s="12"/>
    </row>
    <row r="205" spans="1:73" ht="15" thickBot="1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BT205" s="12"/>
      <c r="BU205" s="12"/>
    </row>
    <row r="206" spans="1:73" ht="15" thickBot="1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BT206" s="12"/>
      <c r="BU206" s="12"/>
    </row>
    <row r="207" spans="1:73" ht="15" thickBot="1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BT207" s="12"/>
      <c r="BU207" s="12"/>
    </row>
    <row r="208" spans="1:73" ht="15" thickBot="1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BT208" s="12"/>
      <c r="BU208" s="12"/>
    </row>
    <row r="209" spans="1:73" ht="15" thickBot="1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BT209" s="12"/>
      <c r="BU209" s="12"/>
    </row>
    <row r="210" spans="1:73" ht="15" thickBot="1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BT210" s="12"/>
      <c r="BU210" s="12"/>
    </row>
    <row r="211" spans="1:73" ht="15" thickBot="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BT211" s="12"/>
      <c r="BU211" s="12"/>
    </row>
    <row r="212" spans="1:73" ht="15" thickBo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BT212" s="12"/>
      <c r="BU212" s="12"/>
    </row>
    <row r="213" spans="1:73" ht="15" thickBo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BT213" s="12"/>
      <c r="BU213" s="12"/>
    </row>
    <row r="214" spans="1:73" ht="15" thickBo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BT214" s="12"/>
      <c r="BU214" s="12"/>
    </row>
    <row r="215" spans="1:73" ht="15" thickBo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BT215" s="12"/>
      <c r="BU215" s="12"/>
    </row>
    <row r="216" spans="1:73" ht="15" thickBo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BT216" s="12"/>
      <c r="BU216" s="12"/>
    </row>
    <row r="217" spans="1:73" ht="15" thickBo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BT217" s="12"/>
      <c r="BU217" s="12"/>
    </row>
    <row r="218" spans="1:73" ht="15" thickBo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BT218" s="12"/>
      <c r="BU218" s="12"/>
    </row>
    <row r="219" spans="1:73" ht="15" thickBo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BT219" s="12"/>
      <c r="BU219" s="12"/>
    </row>
    <row r="220" spans="1:73" ht="15" thickBo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BT220" s="12"/>
      <c r="BU220" s="12"/>
    </row>
    <row r="221" spans="1:73" ht="15" thickBo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BT221" s="12"/>
      <c r="BU221" s="12"/>
    </row>
    <row r="222" spans="1:73" ht="15" thickBo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BT222" s="12"/>
      <c r="BU222" s="12"/>
    </row>
    <row r="223" spans="1:73" ht="15" thickBo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BT223" s="12"/>
      <c r="BU223" s="12"/>
    </row>
    <row r="224" spans="1:73" ht="15" thickBo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BT224" s="12"/>
      <c r="BU224" s="12"/>
    </row>
    <row r="225" spans="1:73" ht="15" thickBo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BT225" s="12"/>
      <c r="BU225" s="12"/>
    </row>
    <row r="226" spans="1:73" ht="15" thickBo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BT226" s="12"/>
      <c r="BU226" s="12"/>
    </row>
    <row r="227" spans="1:73" ht="15" thickBo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BT227" s="12"/>
      <c r="BU227" s="12"/>
    </row>
    <row r="228" spans="1:73" ht="15" thickBo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BT228" s="12"/>
      <c r="BU228" s="12"/>
    </row>
    <row r="229" spans="1:73" ht="15" thickBo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BT229" s="12"/>
      <c r="BU229" s="12"/>
    </row>
    <row r="230" spans="1:73" ht="15" thickBo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BT230" s="12"/>
      <c r="BU230" s="12"/>
    </row>
    <row r="231" spans="1:73" ht="15" thickBo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BT231" s="12"/>
      <c r="BU231" s="12"/>
    </row>
    <row r="232" spans="1:73" ht="15" thickBo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BT232" s="12"/>
      <c r="BU232" s="12"/>
    </row>
    <row r="233" spans="1:73" ht="15" thickBo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BT233" s="12"/>
      <c r="BU233" s="12"/>
    </row>
    <row r="234" spans="1:73" ht="15" thickBo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BT234" s="12"/>
      <c r="BU234" s="12"/>
    </row>
    <row r="235" spans="1:73" ht="15" thickBo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BT235" s="12"/>
      <c r="BU235" s="12"/>
    </row>
    <row r="236" spans="1:73" ht="15" thickBo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BT236" s="12"/>
      <c r="BU236" s="12"/>
    </row>
    <row r="237" spans="1:73" ht="15" thickBo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BT237" s="12"/>
      <c r="BU237" s="12"/>
    </row>
    <row r="238" spans="1:73" ht="15" thickBo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BT238" s="12"/>
      <c r="BU238" s="12"/>
    </row>
    <row r="239" spans="1:73" ht="15" thickBo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BT239" s="12"/>
      <c r="BU239" s="12"/>
    </row>
    <row r="240" spans="1:73" ht="15" thickBo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BT240" s="12"/>
      <c r="BU240" s="12"/>
    </row>
    <row r="241" spans="1:73" ht="15" thickBo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BT241" s="12"/>
      <c r="BU241" s="12"/>
    </row>
    <row r="242" spans="1:73" ht="15" thickBo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BT242" s="12"/>
      <c r="BU242" s="12"/>
    </row>
    <row r="243" spans="1:73" ht="15" thickBo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BT243" s="12"/>
      <c r="BU243" s="12"/>
    </row>
    <row r="244" spans="1:73" ht="15" thickBo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BT244" s="12"/>
      <c r="BU244" s="12"/>
    </row>
    <row r="245" spans="1:73" ht="15" thickBo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BT245" s="12"/>
      <c r="BU245" s="12"/>
    </row>
    <row r="246" spans="1:73" ht="15" thickBo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BT246" s="12"/>
      <c r="BU246" s="12"/>
    </row>
    <row r="247" spans="1:73" ht="15" thickBo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BT247" s="12"/>
      <c r="BU247" s="12"/>
    </row>
    <row r="248" spans="1:73" ht="15" thickBo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BT248" s="12"/>
      <c r="BU248" s="12"/>
    </row>
    <row r="249" spans="1:73" ht="15" thickBo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BT249" s="12"/>
      <c r="BU249" s="12"/>
    </row>
    <row r="250" spans="1:73" ht="15" thickBo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BT250" s="12"/>
      <c r="BU250" s="12"/>
    </row>
    <row r="251" spans="1:73" ht="15" thickBo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BT251" s="12"/>
      <c r="BU251" s="12"/>
    </row>
    <row r="252" spans="1:73" ht="15" thickBo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BT252" s="12"/>
      <c r="BU252" s="12"/>
    </row>
    <row r="253" spans="1:73" ht="15" thickBo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BT253" s="12"/>
      <c r="BU253" s="12"/>
    </row>
    <row r="254" spans="1:73" ht="15" thickBo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BT254" s="12"/>
      <c r="BU254" s="12"/>
    </row>
    <row r="255" spans="1:73" ht="15" thickBo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BT255" s="12"/>
      <c r="BU255" s="12"/>
    </row>
    <row r="256" spans="1:73" ht="15" thickBo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BT256" s="12"/>
      <c r="BU256" s="12"/>
    </row>
    <row r="257" spans="1:73" ht="15" thickBo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BT257" s="12"/>
      <c r="BU257" s="12"/>
    </row>
    <row r="258" spans="1:73" ht="15" thickBo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BT258" s="12"/>
      <c r="BU258" s="12"/>
    </row>
    <row r="259" spans="1:73" ht="15" thickBo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BT259" s="12"/>
      <c r="BU259" s="12"/>
    </row>
    <row r="260" spans="1:73" ht="15" thickBo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BT260" s="12"/>
      <c r="BU260" s="12"/>
    </row>
    <row r="261" spans="1:73" ht="15" thickBo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BT261" s="12"/>
      <c r="BU261" s="12"/>
    </row>
    <row r="262" spans="1:73" ht="15" thickBo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BT262" s="12"/>
      <c r="BU262" s="12"/>
    </row>
    <row r="263" spans="1:73" ht="15" thickBo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BT263" s="12"/>
      <c r="BU263" s="12"/>
    </row>
    <row r="264" spans="1:73" ht="15" thickBo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BT264" s="12"/>
      <c r="BU264" s="12"/>
    </row>
    <row r="265" spans="1:73" ht="15" thickBo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BT265" s="12"/>
      <c r="BU265" s="12"/>
    </row>
    <row r="266" spans="1:73" ht="15" thickBo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BT266" s="12"/>
      <c r="BU266" s="12"/>
    </row>
    <row r="267" spans="1:73" ht="15" thickBo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BT267" s="12"/>
      <c r="BU267" s="12"/>
    </row>
    <row r="268" spans="1:73" ht="15" thickBo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BT268" s="12"/>
      <c r="BU268" s="12"/>
    </row>
    <row r="269" spans="1:73" ht="15" thickBo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BT269" s="12"/>
      <c r="BU269" s="12"/>
    </row>
    <row r="270" spans="1:73" ht="15" thickBo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BT270" s="12"/>
      <c r="BU270" s="12"/>
    </row>
    <row r="271" spans="1:73" ht="15" thickBo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BT271" s="12"/>
      <c r="BU271" s="12"/>
    </row>
    <row r="272" spans="1:73" ht="15" thickBo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BT272" s="12"/>
      <c r="BU272" s="12"/>
    </row>
    <row r="273" spans="1:73" ht="15" thickBo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BT273" s="12"/>
      <c r="BU273" s="12"/>
    </row>
    <row r="274" spans="1:73" ht="15" thickBo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BT274" s="12"/>
      <c r="BU274" s="12"/>
    </row>
    <row r="275" spans="1:73" ht="15" thickBo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BT275" s="12"/>
      <c r="BU275" s="12"/>
    </row>
    <row r="276" spans="1:73" ht="15" thickBo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BT276" s="12"/>
      <c r="BU276" s="12"/>
    </row>
    <row r="277" spans="1:73" ht="15" thickBo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BT277" s="12"/>
      <c r="BU277" s="12"/>
    </row>
    <row r="278" spans="1:73" ht="15" thickBo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BT278" s="12"/>
      <c r="BU278" s="12"/>
    </row>
    <row r="279" spans="1:73" ht="15" thickBo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BT279" s="12"/>
      <c r="BU279" s="12"/>
    </row>
    <row r="280" spans="1:73" ht="15" thickBo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BT280" s="12"/>
      <c r="BU280" s="12"/>
    </row>
    <row r="281" spans="1:73" ht="15" thickBo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BT281" s="12"/>
      <c r="BU281" s="12"/>
    </row>
    <row r="282" spans="1:73" ht="15" thickBo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BT282" s="12"/>
      <c r="BU282" s="12"/>
    </row>
    <row r="283" spans="1:73" ht="15" thickBo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BT283" s="12"/>
      <c r="BU283" s="12"/>
    </row>
    <row r="284" spans="1:73" ht="15" thickBo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BT284" s="12"/>
      <c r="BU284" s="12"/>
    </row>
    <row r="285" spans="1:73" ht="15" thickBo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BT285" s="12"/>
      <c r="BU285" s="12"/>
    </row>
    <row r="286" spans="1:73" ht="15" thickBo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BT286" s="12"/>
      <c r="BU286" s="12"/>
    </row>
    <row r="287" spans="1:73" ht="15" thickBo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BT287" s="12"/>
      <c r="BU287" s="12"/>
    </row>
    <row r="288" spans="1:73" ht="15" thickBo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BT288" s="12"/>
      <c r="BU288" s="12"/>
    </row>
    <row r="289" spans="1:73" ht="15" thickBo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BT289" s="12"/>
      <c r="BU289" s="12"/>
    </row>
    <row r="290" spans="1:73" ht="15" thickBo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BT290" s="12"/>
      <c r="BU290" s="12"/>
    </row>
    <row r="291" spans="1:73" ht="15" thickBo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BT291" s="12"/>
      <c r="BU291" s="12"/>
    </row>
    <row r="292" spans="1:73" ht="15" thickBo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BT292" s="12"/>
      <c r="BU292" s="12"/>
    </row>
    <row r="293" spans="1:73" ht="15" thickBo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BT293" s="12"/>
      <c r="BU293" s="12"/>
    </row>
    <row r="294" spans="1:73" ht="15" thickBo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BT294" s="12"/>
      <c r="BU294" s="12"/>
    </row>
    <row r="295" spans="1:73" ht="15" thickBo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BT295" s="12"/>
      <c r="BU295" s="12"/>
    </row>
    <row r="296" spans="1:73" ht="15" thickBo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BT296" s="12"/>
      <c r="BU296" s="12"/>
    </row>
    <row r="297" spans="1:73" ht="15" thickBo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BT297" s="12"/>
      <c r="BU297" s="12"/>
    </row>
    <row r="298" spans="1:73" ht="15" thickBo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BT298" s="12"/>
      <c r="BU298" s="12"/>
    </row>
    <row r="299" spans="1:73" ht="15" thickBo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BT299" s="12"/>
      <c r="BU299" s="12"/>
    </row>
    <row r="300" spans="1:73" ht="15" thickBo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BT300" s="12"/>
      <c r="BU300" s="12"/>
    </row>
    <row r="301" spans="1:73" ht="15" thickBo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BT301" s="12"/>
      <c r="BU301" s="12"/>
    </row>
    <row r="302" spans="1:73" ht="15" thickBo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BT302" s="12"/>
      <c r="BU302" s="12"/>
    </row>
    <row r="303" spans="1:73" ht="15" thickBo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BT303" s="12"/>
      <c r="BU303" s="12"/>
    </row>
    <row r="304" spans="1:73" ht="15" thickBo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BT304" s="12"/>
      <c r="BU304" s="12"/>
    </row>
    <row r="305" spans="1:73" ht="15" thickBo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BT305" s="12"/>
      <c r="BU305" s="12"/>
    </row>
    <row r="306" spans="1:73" ht="15" thickBo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BT306" s="12"/>
      <c r="BU306" s="12"/>
    </row>
    <row r="307" spans="1:73" ht="15" thickBo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BT307" s="12"/>
      <c r="BU307" s="12"/>
    </row>
    <row r="308" spans="1:73" ht="15" thickBo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BT308" s="12"/>
      <c r="BU308" s="12"/>
    </row>
    <row r="309" spans="1:73" ht="15" thickBo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BT309" s="12"/>
      <c r="BU309" s="12"/>
    </row>
    <row r="310" spans="1:73" ht="15" thickBo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BT310" s="12"/>
      <c r="BU310" s="12"/>
    </row>
    <row r="311" spans="1:73" ht="15" thickBo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BT311" s="12"/>
      <c r="BU311" s="12"/>
    </row>
    <row r="312" spans="1:73" ht="15" thickBo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BT312" s="12"/>
      <c r="BU312" s="12"/>
    </row>
    <row r="313" spans="1:73" ht="15" thickBo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BT313" s="12"/>
      <c r="BU313" s="12"/>
    </row>
    <row r="314" spans="1:73" ht="15" thickBo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BT314" s="12"/>
      <c r="BU314" s="12"/>
    </row>
    <row r="315" spans="1:73" ht="15" thickBo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BT315" s="12"/>
      <c r="BU315" s="12"/>
    </row>
    <row r="316" spans="1:73" ht="15" thickBo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BT316" s="12"/>
      <c r="BU316" s="12"/>
    </row>
    <row r="317" spans="1:73" ht="15" thickBo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BT317" s="12"/>
      <c r="BU317" s="12"/>
    </row>
    <row r="318" spans="1:73" ht="15" thickBo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BT318" s="12"/>
      <c r="BU318" s="12"/>
    </row>
    <row r="319" spans="1:73" ht="15" thickBo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BT319" s="12"/>
      <c r="BU319" s="12"/>
    </row>
    <row r="320" spans="1:73" ht="15" thickBo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BT320" s="12"/>
      <c r="BU320" s="12"/>
    </row>
    <row r="321" spans="1:73" ht="15" thickBo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BT321" s="12"/>
      <c r="BU321" s="12"/>
    </row>
    <row r="322" spans="1:73" ht="15" thickBo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BT322" s="12"/>
      <c r="BU322" s="12"/>
    </row>
    <row r="323" spans="1:73" ht="15" thickBo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BT323" s="12"/>
      <c r="BU323" s="12"/>
    </row>
    <row r="324" spans="1:73" ht="15" thickBo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BT324" s="12"/>
      <c r="BU324" s="12"/>
    </row>
    <row r="325" spans="1:73" ht="15" thickBo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BT325" s="12"/>
      <c r="BU325" s="12"/>
    </row>
    <row r="326" spans="1:73" ht="15" thickBo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BT326" s="12"/>
      <c r="BU326" s="12"/>
    </row>
    <row r="327" spans="1:73" ht="15" thickBo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BT327" s="12"/>
      <c r="BU327" s="12"/>
    </row>
    <row r="328" spans="1:73" ht="15" thickBo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BT328" s="12"/>
      <c r="BU328" s="12"/>
    </row>
    <row r="329" spans="1:73" ht="15" thickBo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BT329" s="12"/>
      <c r="BU329" s="12"/>
    </row>
    <row r="330" spans="1:73" ht="15" thickBo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BT330" s="12"/>
      <c r="BU330" s="12"/>
    </row>
    <row r="331" spans="1:73" ht="15" thickBo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BT331" s="12"/>
      <c r="BU331" s="12"/>
    </row>
    <row r="332" spans="1:73" ht="15" thickBo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BT332" s="12"/>
      <c r="BU332" s="12"/>
    </row>
    <row r="333" spans="1:73" ht="15" thickBo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BT333" s="12"/>
      <c r="BU333" s="12"/>
    </row>
    <row r="334" spans="1:73" ht="15" thickBo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BT334" s="12"/>
      <c r="BU334" s="12"/>
    </row>
    <row r="335" spans="1:73" ht="15" thickBo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BT335" s="12"/>
      <c r="BU335" s="12"/>
    </row>
    <row r="336" spans="1:73" ht="15" thickBo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BT336" s="12"/>
      <c r="BU336" s="12"/>
    </row>
    <row r="337" spans="1:73" ht="15" thickBo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BT337" s="12"/>
      <c r="BU337" s="12"/>
    </row>
    <row r="338" spans="1:73" ht="15" thickBo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BT338" s="12"/>
      <c r="BU338" s="12"/>
    </row>
    <row r="339" spans="1:73" ht="15" thickBo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BT339" s="12"/>
      <c r="BU339" s="12"/>
    </row>
    <row r="340" spans="1:73" ht="15" thickBo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BT340" s="12"/>
      <c r="BU340" s="12"/>
    </row>
    <row r="341" spans="1:73" ht="15" thickBo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BT341" s="12"/>
      <c r="BU341" s="12"/>
    </row>
    <row r="342" spans="1:73" ht="15" thickBo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BT342" s="12"/>
      <c r="BU342" s="12"/>
    </row>
    <row r="343" spans="1:73" ht="15" thickBo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BT343" s="12"/>
      <c r="BU343" s="12"/>
    </row>
    <row r="344" spans="1:73" ht="15" thickBo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BT344" s="12"/>
      <c r="BU344" s="12"/>
    </row>
    <row r="345" spans="1:73" ht="15" thickBo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BT345" s="12"/>
      <c r="BU345" s="12"/>
    </row>
    <row r="346" spans="1:73" ht="15" thickBo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BT346" s="12"/>
      <c r="BU346" s="12"/>
    </row>
    <row r="347" spans="1:73" ht="15" thickBo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BT347" s="12"/>
      <c r="BU347" s="12"/>
    </row>
    <row r="348" spans="1:73" ht="15" thickBo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BT348" s="12"/>
      <c r="BU348" s="12"/>
    </row>
    <row r="349" spans="1:73" ht="15" thickBo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BT349" s="12"/>
      <c r="BU349" s="12"/>
    </row>
    <row r="350" spans="1:73" ht="15" thickBo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BT350" s="12"/>
      <c r="BU350" s="12"/>
    </row>
    <row r="351" spans="1:73" ht="15" thickBo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BT351" s="12"/>
      <c r="BU351" s="12"/>
    </row>
    <row r="352" spans="1:73" ht="15" thickBo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BT352" s="12"/>
      <c r="BU352" s="12"/>
    </row>
    <row r="353" spans="1:73" ht="15" thickBo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BT353" s="12"/>
      <c r="BU353" s="12"/>
    </row>
    <row r="354" spans="1:73" ht="15" thickBo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BT354" s="12"/>
      <c r="BU354" s="12"/>
    </row>
    <row r="355" spans="1:73" ht="15" thickBo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BT355" s="12"/>
      <c r="BU355" s="12"/>
    </row>
    <row r="356" spans="1:73" ht="15" thickBo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BT356" s="12"/>
      <c r="BU356" s="12"/>
    </row>
    <row r="357" spans="1:73" ht="15" thickBo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BT357" s="12"/>
      <c r="BU357" s="12"/>
    </row>
    <row r="358" spans="1:73" ht="15" thickBo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BT358" s="12"/>
      <c r="BU358" s="12"/>
    </row>
    <row r="359" spans="1:73" ht="15" thickBo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BT359" s="12"/>
      <c r="BU359" s="12"/>
    </row>
    <row r="360" spans="1:73" ht="15" thickBo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BT360" s="12"/>
      <c r="BU360" s="12"/>
    </row>
    <row r="361" spans="1:73" ht="15" thickBo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BT361" s="12"/>
      <c r="BU361" s="12"/>
    </row>
    <row r="362" spans="1:73" ht="15" thickBo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BT362" s="12"/>
      <c r="BU362" s="12"/>
    </row>
    <row r="363" spans="1:73" ht="15" thickBo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BT363" s="12"/>
      <c r="BU363" s="12"/>
    </row>
    <row r="364" spans="1:73" ht="15" thickBo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BT364" s="12"/>
      <c r="BU364" s="12"/>
    </row>
    <row r="365" spans="1:73" ht="15" thickBo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BT365" s="12"/>
      <c r="BU365" s="12"/>
    </row>
    <row r="366" spans="1:73" ht="15" thickBo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BT366" s="12"/>
      <c r="BU366" s="12"/>
    </row>
    <row r="367" spans="1:73" ht="15" thickBo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BT367" s="12"/>
      <c r="BU367" s="12"/>
    </row>
    <row r="368" spans="1:73" ht="15" thickBo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BT368" s="12"/>
      <c r="BU368" s="12"/>
    </row>
    <row r="369" spans="1:73" ht="15" thickBo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BT369" s="12"/>
      <c r="BU369" s="12"/>
    </row>
    <row r="370" spans="1:73" ht="15" thickBo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BT370" s="12"/>
      <c r="BU370" s="12"/>
    </row>
    <row r="371" spans="1:73" ht="15" thickBo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BT371" s="12"/>
      <c r="BU371" s="12"/>
    </row>
    <row r="372" spans="1:73" ht="15" thickBo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BT372" s="12"/>
      <c r="BU372" s="12"/>
    </row>
    <row r="373" spans="1:73" ht="15" thickBo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BT373" s="12"/>
      <c r="BU373" s="12"/>
    </row>
    <row r="374" spans="1:73" ht="15" thickBo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BT374" s="12"/>
      <c r="BU374" s="12"/>
    </row>
    <row r="375" spans="1:73" ht="15" thickBo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BT375" s="12"/>
      <c r="BU375" s="12"/>
    </row>
    <row r="376" spans="1:73" ht="15" thickBo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BT376" s="12"/>
      <c r="BU376" s="12"/>
    </row>
    <row r="377" spans="1:73" ht="15" thickBo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BT377" s="12"/>
      <c r="BU377" s="12"/>
    </row>
    <row r="378" spans="1:73" ht="15" thickBo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BT378" s="12"/>
      <c r="BU378" s="12"/>
    </row>
    <row r="379" spans="1:73" ht="15" thickBo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BT379" s="12"/>
      <c r="BU379" s="12"/>
    </row>
    <row r="380" spans="1:73" ht="15" thickBo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BT380" s="12"/>
      <c r="BU380" s="12"/>
    </row>
    <row r="381" spans="1:73" ht="15" thickBo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BT381" s="12"/>
      <c r="BU381" s="12"/>
    </row>
    <row r="382" spans="1:73" ht="15" thickBo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BT382" s="12"/>
      <c r="BU382" s="12"/>
    </row>
    <row r="383" spans="1:73" ht="15" thickBo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BT383" s="12"/>
      <c r="BU383" s="12"/>
    </row>
    <row r="384" spans="1:73" ht="15" thickBo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BT384" s="12"/>
      <c r="BU384" s="12"/>
    </row>
    <row r="385" spans="1:73" ht="15" thickBo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BT385" s="12"/>
      <c r="BU385" s="12"/>
    </row>
    <row r="386" spans="1:73" ht="15" thickBo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BT386" s="12"/>
      <c r="BU386" s="12"/>
    </row>
    <row r="387" spans="1:73" ht="15" thickBo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BT387" s="12"/>
      <c r="BU387" s="12"/>
    </row>
    <row r="388" spans="1:73" ht="15" thickBo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BT388" s="12"/>
      <c r="BU388" s="12"/>
    </row>
    <row r="389" spans="1:73" ht="15" thickBo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BT389" s="12"/>
      <c r="BU389" s="12"/>
    </row>
    <row r="390" spans="1:73" ht="15" thickBo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BT390" s="12"/>
      <c r="BU390" s="12"/>
    </row>
    <row r="391" spans="1:73" ht="15" thickBo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BT391" s="12"/>
      <c r="BU391" s="12"/>
    </row>
    <row r="392" spans="1:73" ht="15" thickBo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BT392" s="12"/>
      <c r="BU392" s="12"/>
    </row>
    <row r="393" spans="1:73" ht="15" thickBo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BT393" s="12"/>
      <c r="BU393" s="12"/>
    </row>
    <row r="394" spans="1:73" ht="15" thickBo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BT394" s="12"/>
      <c r="BU394" s="12"/>
    </row>
    <row r="395" spans="1:73" ht="15" thickBo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BT395" s="12"/>
      <c r="BU395" s="12"/>
    </row>
    <row r="396" spans="1:73" ht="15" thickBo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BT396" s="12"/>
      <c r="BU396" s="12"/>
    </row>
    <row r="397" spans="1:73" ht="15" thickBo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BT397" s="12"/>
      <c r="BU397" s="12"/>
    </row>
    <row r="398" spans="1:73" ht="15" thickBo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BT398" s="12"/>
      <c r="BU398" s="12"/>
    </row>
    <row r="399" spans="1:73" ht="15" thickBo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BT399" s="12"/>
      <c r="BU399" s="12"/>
    </row>
    <row r="400" spans="1:73" ht="15" thickBo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BT400" s="12"/>
      <c r="BU400" s="12"/>
    </row>
    <row r="401" spans="1:73" ht="15" thickBo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BT401" s="12"/>
      <c r="BU401" s="12"/>
    </row>
    <row r="402" spans="1:73" ht="15" thickBo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BT402" s="12"/>
      <c r="BU402" s="12"/>
    </row>
    <row r="403" spans="1:73" ht="15" thickBo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BT403" s="12"/>
      <c r="BU403" s="12"/>
    </row>
    <row r="404" spans="1:73" ht="15" thickBo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BT404" s="12"/>
      <c r="BU404" s="12"/>
    </row>
    <row r="405" spans="1:73" ht="15" thickBo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BT405" s="12"/>
      <c r="BU405" s="12"/>
    </row>
    <row r="406" spans="1:73" ht="15" thickBo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BT406" s="12"/>
      <c r="BU406" s="12"/>
    </row>
    <row r="407" spans="1:73" ht="15" thickBo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BT407" s="12"/>
      <c r="BU407" s="12"/>
    </row>
    <row r="408" spans="1:73" ht="15" thickBo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BT408" s="12"/>
      <c r="BU408" s="12"/>
    </row>
    <row r="409" spans="1:73" ht="15" thickBo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BT409" s="12"/>
      <c r="BU409" s="12"/>
    </row>
    <row r="410" spans="1:73" ht="15" thickBo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BT410" s="12"/>
      <c r="BU410" s="12"/>
    </row>
    <row r="411" spans="1:73" ht="15" thickBo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BT411" s="12"/>
      <c r="BU411" s="12"/>
    </row>
    <row r="412" spans="1:73" ht="15" thickBo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BT412" s="12"/>
      <c r="BU412" s="12"/>
    </row>
    <row r="413" spans="1:73" ht="15" thickBo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BT413" s="12"/>
      <c r="BU413" s="12"/>
    </row>
    <row r="414" spans="1:73" ht="15" thickBo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BT414" s="12"/>
      <c r="BU414" s="12"/>
    </row>
    <row r="415" spans="1:73" ht="15" thickBo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BT415" s="12"/>
      <c r="BU415" s="12"/>
    </row>
    <row r="416" spans="1:73" ht="15" thickBo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BT416" s="12"/>
      <c r="BU416" s="12"/>
    </row>
    <row r="417" spans="1:73" ht="15" thickBo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BT417" s="12"/>
      <c r="BU417" s="12"/>
    </row>
    <row r="418" spans="1:73" ht="15" thickBo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BT418" s="12"/>
      <c r="BU418" s="12"/>
    </row>
    <row r="419" spans="1:73" ht="15" thickBo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BT419" s="12"/>
      <c r="BU419" s="12"/>
    </row>
    <row r="420" spans="1:73" ht="15" thickBo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BT420" s="12"/>
      <c r="BU420" s="12"/>
    </row>
    <row r="421" spans="1:73" ht="15" thickBo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BT421" s="12"/>
      <c r="BU421" s="12"/>
    </row>
    <row r="422" spans="1:73" ht="15" thickBo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BT422" s="12"/>
      <c r="BU422" s="12"/>
    </row>
    <row r="423" spans="1:73" ht="15" thickBo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BT423" s="12"/>
      <c r="BU423" s="12"/>
    </row>
    <row r="424" spans="1:73" ht="15" thickBo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BT424" s="12"/>
      <c r="BU424" s="12"/>
    </row>
    <row r="425" spans="1:73" ht="15" thickBo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BT425" s="12"/>
      <c r="BU425" s="12"/>
    </row>
    <row r="426" spans="1:73" ht="15" thickBo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BT426" s="12"/>
      <c r="BU426" s="12"/>
    </row>
    <row r="427" spans="1:73" ht="15" thickBo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BT427" s="12"/>
      <c r="BU427" s="12"/>
    </row>
    <row r="428" spans="1:73" ht="15" thickBo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BT428" s="12"/>
      <c r="BU428" s="12"/>
    </row>
    <row r="429" spans="1:73" ht="15" thickBo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BT429" s="12"/>
      <c r="BU429" s="12"/>
    </row>
    <row r="430" spans="1:73" ht="15" thickBo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BT430" s="12"/>
      <c r="BU430" s="12"/>
    </row>
    <row r="431" spans="1:73" ht="15" thickBo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BT431" s="12"/>
      <c r="BU431" s="12"/>
    </row>
    <row r="432" spans="1:73" ht="15" thickBo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BT432" s="12"/>
      <c r="BU432" s="12"/>
    </row>
    <row r="433" spans="1:73" ht="15" thickBo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BT433" s="12"/>
      <c r="BU433" s="12"/>
    </row>
    <row r="434" spans="1:73" ht="15" thickBo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BT434" s="12"/>
      <c r="BU434" s="12"/>
    </row>
    <row r="435" spans="1:73" ht="15" thickBo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BT435" s="12"/>
      <c r="BU435" s="12"/>
    </row>
    <row r="436" spans="1:73" ht="15" thickBo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BT436" s="12"/>
      <c r="BU436" s="12"/>
    </row>
    <row r="437" spans="1:73" ht="15" thickBo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BT437" s="12"/>
      <c r="BU437" s="12"/>
    </row>
    <row r="438" spans="1:73" ht="15" thickBo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BT438" s="12"/>
      <c r="BU438" s="12"/>
    </row>
    <row r="439" spans="1:73" ht="15" thickBo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BT439" s="12"/>
      <c r="BU439" s="12"/>
    </row>
    <row r="440" spans="1:73" ht="15" thickBo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BT440" s="12"/>
      <c r="BU440" s="12"/>
    </row>
    <row r="441" spans="1:73" ht="15" thickBo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BT441" s="12"/>
      <c r="BU441" s="12"/>
    </row>
    <row r="442" spans="1:73" ht="15" thickBo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BT442" s="12"/>
      <c r="BU442" s="12"/>
    </row>
    <row r="443" spans="1:73" ht="15" thickBo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BT443" s="12"/>
      <c r="BU443" s="12"/>
    </row>
    <row r="444" spans="1:73" ht="15" thickBo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BT444" s="12"/>
      <c r="BU444" s="12"/>
    </row>
    <row r="445" spans="1:73" ht="15" thickBo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BT445" s="12"/>
      <c r="BU445" s="12"/>
    </row>
    <row r="446" spans="1:73" ht="15" thickBo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BT446" s="12"/>
      <c r="BU446" s="12"/>
    </row>
    <row r="447" spans="1:73" ht="15" thickBo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BT447" s="12"/>
      <c r="BU447" s="12"/>
    </row>
    <row r="448" spans="1:73" ht="15" thickBo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BT448" s="12"/>
      <c r="BU448" s="12"/>
    </row>
    <row r="449" spans="1:73" ht="15" thickBo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BT449" s="12"/>
      <c r="BU449" s="12"/>
    </row>
    <row r="450" spans="1:73" ht="15" thickBo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BT450" s="12"/>
      <c r="BU450" s="12"/>
    </row>
    <row r="451" spans="1:73" ht="15" thickBo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BT451" s="12"/>
      <c r="BU451" s="12"/>
    </row>
    <row r="452" spans="1:73" ht="15" thickBo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BT452" s="12"/>
      <c r="BU452" s="12"/>
    </row>
    <row r="453" spans="1:73" ht="15" thickBo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BT453" s="12"/>
      <c r="BU453" s="12"/>
    </row>
    <row r="454" spans="1:73" ht="15" thickBo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BT454" s="12"/>
      <c r="BU454" s="12"/>
    </row>
    <row r="455" spans="1:73" ht="15" thickBo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BT455" s="12"/>
      <c r="BU455" s="12"/>
    </row>
    <row r="456" spans="1:73" ht="15" thickBo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BT456" s="12"/>
      <c r="BU456" s="12"/>
    </row>
    <row r="457" spans="1:73" ht="15" thickBo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BT457" s="12"/>
      <c r="BU457" s="12"/>
    </row>
    <row r="458" spans="1:73" ht="15" thickBo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BT458" s="12"/>
      <c r="BU458" s="12"/>
    </row>
    <row r="459" spans="1:73" ht="15" thickBo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BT459" s="12"/>
      <c r="BU459" s="12"/>
    </row>
    <row r="460" spans="1:73" ht="15" thickBo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BT460" s="12"/>
      <c r="BU460" s="12"/>
    </row>
    <row r="461" spans="1:73" ht="15" thickBo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BT461" s="12"/>
      <c r="BU461" s="12"/>
    </row>
    <row r="462" spans="1:73" ht="15" thickBo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BT462" s="12"/>
      <c r="BU462" s="12"/>
    </row>
    <row r="463" spans="1:73" ht="15" thickBo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BT463" s="12"/>
      <c r="BU463" s="12"/>
    </row>
    <row r="464" spans="1:73" ht="15" thickBo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BT464" s="12"/>
      <c r="BU464" s="12"/>
    </row>
    <row r="465" spans="1:73" ht="15" thickBo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BT465" s="12"/>
      <c r="BU465" s="12"/>
    </row>
    <row r="466" spans="1:73" ht="15" thickBo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BT466" s="12"/>
      <c r="BU466" s="12"/>
    </row>
    <row r="467" spans="1:73" ht="15" thickBo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BT467" s="12"/>
      <c r="BU467" s="12"/>
    </row>
    <row r="468" spans="1:73" ht="15" thickBo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BT468" s="12"/>
      <c r="BU468" s="12"/>
    </row>
    <row r="469" spans="1:73" ht="15" thickBo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BT469" s="12"/>
      <c r="BU469" s="12"/>
    </row>
    <row r="470" spans="1:73" ht="15" thickBo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BT470" s="12"/>
      <c r="BU470" s="12"/>
    </row>
    <row r="471" spans="1:73" ht="15" thickBo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BT471" s="12"/>
      <c r="BU471" s="12"/>
    </row>
    <row r="472" spans="1:73" ht="15" thickBo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BT472" s="12"/>
      <c r="BU472" s="12"/>
    </row>
    <row r="473" spans="1:73" ht="15" thickBo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BT473" s="12"/>
      <c r="BU473" s="12"/>
    </row>
    <row r="474" spans="1:73" ht="15" thickBo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BT474" s="12"/>
      <c r="BU474" s="12"/>
    </row>
    <row r="475" spans="1:73" ht="15" thickBo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BT475" s="12"/>
      <c r="BU475" s="12"/>
    </row>
    <row r="476" spans="1:73" ht="15" thickBo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BT476" s="12"/>
      <c r="BU476" s="12"/>
    </row>
    <row r="477" spans="1:73" ht="15" thickBo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BT477" s="12"/>
      <c r="BU477" s="12"/>
    </row>
    <row r="478" spans="1:73" ht="15" thickBo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BT478" s="12"/>
      <c r="BU478" s="12"/>
    </row>
    <row r="479" spans="1:73" ht="15" thickBo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BT479" s="12"/>
      <c r="BU479" s="12"/>
    </row>
    <row r="480" spans="1:73" ht="15" thickBo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BT480" s="12"/>
      <c r="BU480" s="12"/>
    </row>
    <row r="481" spans="1:73" ht="15" thickBo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BT481" s="12"/>
      <c r="BU481" s="12"/>
    </row>
    <row r="482" spans="1:73" ht="15" thickBo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BT482" s="12"/>
      <c r="BU482" s="12"/>
    </row>
    <row r="483" spans="1:73" ht="15" thickBo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BT483" s="12"/>
      <c r="BU483" s="12"/>
    </row>
    <row r="484" spans="1:73" ht="15" thickBo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BT484" s="12"/>
      <c r="BU484" s="12"/>
    </row>
    <row r="485" spans="1:73" ht="15" thickBo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BT485" s="12"/>
      <c r="BU485" s="12"/>
    </row>
    <row r="486" spans="1:73" ht="15" thickBo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BT486" s="12"/>
      <c r="BU486" s="12"/>
    </row>
    <row r="487" spans="1:73" ht="15" thickBo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BT487" s="12"/>
      <c r="BU487" s="12"/>
    </row>
    <row r="488" spans="1:73" ht="15" thickBo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BT488" s="12"/>
      <c r="BU488" s="12"/>
    </row>
    <row r="489" spans="1:73" ht="15" thickBo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BT489" s="12"/>
      <c r="BU489" s="12"/>
    </row>
    <row r="490" spans="1:73" ht="15" thickBo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BT490" s="12"/>
      <c r="BU490" s="12"/>
    </row>
    <row r="491" spans="1:73" ht="15" thickBo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BT491" s="12"/>
      <c r="BU491" s="12"/>
    </row>
    <row r="492" spans="1:73" ht="15" thickBo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BT492" s="12"/>
      <c r="BU492" s="12"/>
    </row>
    <row r="493" spans="1:73" ht="15" thickBo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BT493" s="12"/>
      <c r="BU493" s="12"/>
    </row>
    <row r="494" spans="1:73" ht="15" thickBo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BT494" s="12"/>
      <c r="BU494" s="12"/>
    </row>
    <row r="495" spans="1:73" ht="15" thickBo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BT495" s="12"/>
      <c r="BU495" s="12"/>
    </row>
    <row r="496" spans="1:73" ht="15" thickBo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BT496" s="12"/>
      <c r="BU496" s="12"/>
    </row>
    <row r="497" spans="1:73" ht="15" thickBo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BT497" s="12"/>
      <c r="BU497" s="12"/>
    </row>
    <row r="498" spans="1:73" ht="15" thickBo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BT498" s="12"/>
      <c r="BU498" s="12"/>
    </row>
    <row r="499" spans="1:73" ht="15" thickBo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BT499" s="12"/>
      <c r="BU499" s="12"/>
    </row>
    <row r="500" spans="1:73" ht="15" thickBo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BT500" s="12"/>
      <c r="BU500" s="12"/>
    </row>
    <row r="501" spans="1:73" ht="15" thickBo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BT501" s="12"/>
      <c r="BU501" s="12"/>
    </row>
    <row r="502" spans="1:73" ht="15" thickBo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BT502" s="12"/>
      <c r="BU502" s="12"/>
    </row>
    <row r="503" spans="1:73" ht="15" thickBo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BT503" s="12"/>
      <c r="BU503" s="12"/>
    </row>
    <row r="504" spans="1:73" ht="15" thickBo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BT504" s="12"/>
      <c r="BU504" s="12"/>
    </row>
    <row r="505" spans="1:73" ht="15" thickBo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BT505" s="12"/>
      <c r="BU505" s="12"/>
    </row>
    <row r="506" spans="1:73" ht="15" thickBo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BT506" s="12"/>
      <c r="BU506" s="12"/>
    </row>
    <row r="507" spans="1:73" ht="15" thickBo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BT507" s="12"/>
      <c r="BU507" s="12"/>
    </row>
    <row r="508" spans="1:73" ht="15" thickBo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BT508" s="12"/>
      <c r="BU508" s="12"/>
    </row>
    <row r="509" spans="1:73" ht="15" thickBo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BT509" s="12"/>
      <c r="BU509" s="12"/>
    </row>
    <row r="510" spans="1:73" ht="15" thickBo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BT510" s="12"/>
      <c r="BU510" s="12"/>
    </row>
    <row r="511" spans="1:73" ht="15" thickBo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BT511" s="12"/>
      <c r="BU511" s="12"/>
    </row>
    <row r="512" spans="1:73" ht="15" thickBo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BT512" s="12"/>
      <c r="BU512" s="12"/>
    </row>
    <row r="513" spans="1:73" ht="15" thickBo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BT513" s="12"/>
      <c r="BU513" s="12"/>
    </row>
    <row r="514" spans="1:73" ht="15" thickBo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BT514" s="12"/>
      <c r="BU514" s="12"/>
    </row>
    <row r="515" spans="1:73" ht="15" thickBo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BT515" s="12"/>
      <c r="BU515" s="12"/>
    </row>
    <row r="516" spans="1:73" ht="15" thickBo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BT516" s="12"/>
      <c r="BU516" s="12"/>
    </row>
    <row r="517" spans="1:73" ht="15" thickBo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BT517" s="12"/>
      <c r="BU517" s="12"/>
    </row>
    <row r="518" spans="1:73" ht="15" thickBo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BT518" s="12"/>
      <c r="BU518" s="12"/>
    </row>
    <row r="519" spans="1:73" ht="15" thickBo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BT519" s="12"/>
      <c r="BU519" s="12"/>
    </row>
    <row r="520" spans="1:73" ht="15" thickBo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BT520" s="12"/>
      <c r="BU520" s="12"/>
    </row>
    <row r="521" spans="1:73" ht="15" thickBo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BT521" s="12"/>
      <c r="BU521" s="12"/>
    </row>
    <row r="522" spans="1:73" ht="15" thickBo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BT522" s="12"/>
      <c r="BU522" s="12"/>
    </row>
    <row r="523" spans="1:73" ht="15" thickBo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BT523" s="12"/>
      <c r="BU523" s="12"/>
    </row>
    <row r="524" spans="1:73" ht="15" thickBo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BT524" s="12"/>
      <c r="BU524" s="12"/>
    </row>
    <row r="525" spans="1:73" ht="15" thickBo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BT525" s="12"/>
      <c r="BU525" s="12"/>
    </row>
    <row r="526" spans="1:73" ht="15" thickBo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BT526" s="12"/>
      <c r="BU526" s="12"/>
    </row>
    <row r="527" spans="1:73" ht="15" thickBo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BT527" s="12"/>
      <c r="BU527" s="12"/>
    </row>
    <row r="528" spans="1:73" ht="15" thickBo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BT528" s="12"/>
      <c r="BU528" s="12"/>
    </row>
    <row r="529" spans="1:73" ht="15" thickBo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BT529" s="12"/>
      <c r="BU529" s="12"/>
    </row>
    <row r="530" spans="1:73" ht="15" thickBo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BT530" s="12"/>
      <c r="BU530" s="12"/>
    </row>
    <row r="531" spans="1:73" ht="15" thickBo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BT531" s="12"/>
      <c r="BU531" s="12"/>
    </row>
    <row r="532" spans="1:73" ht="15" thickBo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BT532" s="12"/>
      <c r="BU532" s="12"/>
    </row>
    <row r="533" spans="1:73" ht="15" thickBo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BT533" s="12"/>
      <c r="BU533" s="12"/>
    </row>
    <row r="534" spans="1:73" ht="15" thickBo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BT534" s="12"/>
      <c r="BU534" s="12"/>
    </row>
    <row r="535" spans="1:73" ht="15" thickBo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BT535" s="12"/>
      <c r="BU535" s="12"/>
    </row>
    <row r="536" spans="1:73" ht="15" thickBo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BT536" s="12"/>
      <c r="BU536" s="12"/>
    </row>
    <row r="537" spans="1:73" ht="15" thickBo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BT537" s="12"/>
      <c r="BU537" s="12"/>
    </row>
    <row r="538" spans="1:73" ht="15" thickBo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BT538" s="12"/>
      <c r="BU538" s="12"/>
    </row>
    <row r="539" spans="1:73" ht="15" thickBo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BT539" s="12"/>
      <c r="BU539" s="12"/>
    </row>
    <row r="540" spans="1:73" ht="15" thickBo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BT540" s="12"/>
      <c r="BU540" s="12"/>
    </row>
    <row r="541" spans="1:73" ht="15" thickBo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BT541" s="12"/>
      <c r="BU541" s="12"/>
    </row>
    <row r="542" spans="1:73" ht="15" thickBo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BT542" s="12"/>
      <c r="BU542" s="12"/>
    </row>
    <row r="543" spans="1:73" ht="15" thickBo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BT543" s="12"/>
      <c r="BU543" s="12"/>
    </row>
    <row r="544" spans="1:73" ht="15" thickBo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BT544" s="12"/>
      <c r="BU544" s="12"/>
    </row>
    <row r="545" spans="1:73" ht="15" thickBo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BT545" s="12"/>
      <c r="BU545" s="12"/>
    </row>
    <row r="546" spans="1:73" ht="15" thickBo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BT546" s="12"/>
      <c r="BU546" s="12"/>
    </row>
    <row r="547" spans="1:73" ht="15" thickBo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BT547" s="12"/>
      <c r="BU547" s="12"/>
    </row>
    <row r="548" spans="1:73" ht="15" thickBo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BT548" s="12"/>
      <c r="BU548" s="12"/>
    </row>
    <row r="549" spans="1:73" ht="15" thickBo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BT549" s="12"/>
      <c r="BU549" s="12"/>
    </row>
    <row r="550" spans="1:73" ht="15" thickBo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BT550" s="12"/>
      <c r="BU550" s="12"/>
    </row>
    <row r="551" spans="1:73" ht="15" thickBo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BT551" s="12"/>
      <c r="BU551" s="12"/>
    </row>
    <row r="552" spans="1:73" ht="15" thickBo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BT552" s="12"/>
      <c r="BU552" s="12"/>
    </row>
    <row r="553" spans="1:73" ht="15" thickBo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BT553" s="12"/>
      <c r="BU553" s="12"/>
    </row>
    <row r="554" spans="1:73" ht="15" thickBo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BT554" s="12"/>
      <c r="BU554" s="12"/>
    </row>
    <row r="555" spans="1:73" ht="15" thickBo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BT555" s="12"/>
      <c r="BU555" s="12"/>
    </row>
    <row r="556" spans="1:73" ht="15" thickBo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BT556" s="12"/>
      <c r="BU556" s="12"/>
    </row>
    <row r="557" spans="1:73" ht="15" thickBo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BT557" s="12"/>
      <c r="BU557" s="12"/>
    </row>
    <row r="558" spans="1:73" ht="15" thickBo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BT558" s="12"/>
      <c r="BU558" s="12"/>
    </row>
    <row r="559" spans="1:73" ht="15" thickBo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BT559" s="12"/>
      <c r="BU559" s="12"/>
    </row>
    <row r="560" spans="1:73" ht="15" thickBo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BT560" s="12"/>
      <c r="BU560" s="12"/>
    </row>
    <row r="561" spans="1:73" ht="15" thickBo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BT561" s="12"/>
      <c r="BU561" s="12"/>
    </row>
    <row r="562" spans="1:73" ht="15" thickBo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BT562" s="12"/>
      <c r="BU562" s="12"/>
    </row>
    <row r="563" spans="1:73" ht="15" thickBo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BT563" s="12"/>
      <c r="BU563" s="12"/>
    </row>
    <row r="564" spans="1:73" ht="15" thickBo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BT564" s="12"/>
      <c r="BU564" s="12"/>
    </row>
    <row r="565" spans="1:73" ht="15" thickBo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BT565" s="12"/>
      <c r="BU565" s="12"/>
    </row>
    <row r="566" spans="1:73" ht="15" thickBo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BT566" s="12"/>
      <c r="BU566" s="12"/>
    </row>
    <row r="567" spans="1:73" ht="15" thickBo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BT567" s="12"/>
      <c r="BU567" s="12"/>
    </row>
    <row r="568" spans="1:73" ht="15" thickBo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BT568" s="12"/>
      <c r="BU568" s="12"/>
    </row>
    <row r="569" spans="1:73" ht="15" thickBo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BT569" s="12"/>
      <c r="BU569" s="12"/>
    </row>
    <row r="570" spans="1:73" ht="15" thickBo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BT570" s="12"/>
      <c r="BU570" s="12"/>
    </row>
    <row r="571" spans="1:73" ht="15" thickBo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BT571" s="12"/>
      <c r="BU571" s="12"/>
    </row>
    <row r="572" spans="1:73" ht="15" thickBo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BT572" s="12"/>
      <c r="BU572" s="12"/>
    </row>
    <row r="573" spans="1:73" ht="15" thickBo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BT573" s="12"/>
      <c r="BU573" s="12"/>
    </row>
    <row r="574" spans="1:73" ht="15" thickBo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BT574" s="12"/>
      <c r="BU574" s="12"/>
    </row>
    <row r="575" spans="1:73" ht="15" thickBo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BT575" s="12"/>
      <c r="BU575" s="12"/>
    </row>
    <row r="576" spans="1:73" ht="15" thickBo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BT576" s="12"/>
      <c r="BU576" s="12"/>
    </row>
    <row r="577" spans="1:73" ht="15" thickBo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BT577" s="12"/>
      <c r="BU577" s="12"/>
    </row>
    <row r="578" spans="1:73" ht="15" thickBo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BT578" s="12"/>
      <c r="BU578" s="12"/>
    </row>
    <row r="579" spans="1:73" ht="15" thickBo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BT579" s="12"/>
      <c r="BU579" s="12"/>
    </row>
    <row r="580" spans="1:73" ht="15" thickBo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BT580" s="12"/>
      <c r="BU580" s="12"/>
    </row>
    <row r="581" spans="1:73" ht="15" thickBo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BT581" s="12"/>
      <c r="BU581" s="12"/>
    </row>
    <row r="582" spans="1:73" ht="15" thickBo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BT582" s="12"/>
      <c r="BU582" s="12"/>
    </row>
    <row r="583" spans="1:73" ht="15" thickBo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BT583" s="12"/>
      <c r="BU583" s="12"/>
    </row>
    <row r="584" spans="1:73" ht="15" thickBo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BT584" s="12"/>
      <c r="BU584" s="12"/>
    </row>
    <row r="585" spans="1:73" ht="15" thickBo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BT585" s="12"/>
      <c r="BU585" s="12"/>
    </row>
    <row r="586" spans="1:73" ht="15" thickBo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BT586" s="12"/>
      <c r="BU586" s="12"/>
    </row>
    <row r="587" spans="1:73" ht="15" thickBo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BT587" s="12"/>
      <c r="BU587" s="12"/>
    </row>
    <row r="588" spans="1:73" ht="15" thickBo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BT588" s="12"/>
      <c r="BU588" s="12"/>
    </row>
    <row r="589" spans="1:73" ht="15" thickBo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BT589" s="12"/>
      <c r="BU589" s="12"/>
    </row>
    <row r="590" spans="1:73" ht="15" thickBo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BT590" s="12"/>
      <c r="BU590" s="12"/>
    </row>
    <row r="591" spans="1:73" ht="15" thickBo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BT591" s="12"/>
      <c r="BU591" s="12"/>
    </row>
    <row r="592" spans="1:73" ht="15" thickBo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BT592" s="12"/>
      <c r="BU592" s="12"/>
    </row>
    <row r="593" spans="1:73" ht="15" thickBo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BT593" s="12"/>
      <c r="BU593" s="12"/>
    </row>
    <row r="594" spans="1:73" ht="15" thickBo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BT594" s="12"/>
      <c r="BU594" s="12"/>
    </row>
    <row r="595" spans="1:73" ht="15" thickBo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BT595" s="12"/>
      <c r="BU595" s="12"/>
    </row>
    <row r="596" spans="1:73" ht="15" thickBo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BT596" s="12"/>
      <c r="BU596" s="12"/>
    </row>
    <row r="597" spans="1:73" ht="15" thickBo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BT597" s="12"/>
      <c r="BU597" s="12"/>
    </row>
    <row r="598" spans="1:73" ht="15" thickBo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BT598" s="12"/>
      <c r="BU598" s="12"/>
    </row>
    <row r="599" spans="1:73" ht="15" thickBo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BT599" s="12"/>
      <c r="BU599" s="12"/>
    </row>
    <row r="600" spans="1:73" ht="15" thickBo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BT600" s="12"/>
      <c r="BU600" s="12"/>
    </row>
    <row r="601" spans="1:73" ht="15" thickBo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BT601" s="12"/>
      <c r="BU601" s="12"/>
    </row>
    <row r="602" spans="1:73" ht="15" thickBo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BT602" s="12"/>
      <c r="BU602" s="12"/>
    </row>
    <row r="603" spans="1:73" ht="15" thickBo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BT603" s="12"/>
      <c r="BU603" s="12"/>
    </row>
    <row r="604" spans="1:73" ht="15" thickBo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BT604" s="12"/>
      <c r="BU604" s="12"/>
    </row>
    <row r="605" spans="1:73" ht="15" thickBo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BT605" s="12"/>
      <c r="BU605" s="12"/>
    </row>
    <row r="606" spans="1:73" ht="15" thickBo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BT606" s="12"/>
      <c r="BU606" s="12"/>
    </row>
    <row r="607" spans="1:73" ht="15" thickBo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BT607" s="12"/>
      <c r="BU607" s="12"/>
    </row>
    <row r="608" spans="1:73" ht="15" thickBo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BT608" s="12"/>
      <c r="BU608" s="12"/>
    </row>
    <row r="609" spans="1:73" ht="15" thickBo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BT609" s="12"/>
      <c r="BU609" s="12"/>
    </row>
    <row r="610" spans="1:73" ht="15" thickBo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BT610" s="12"/>
      <c r="BU610" s="12"/>
    </row>
    <row r="611" spans="1:73" ht="15" thickBo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BT611" s="12"/>
      <c r="BU611" s="12"/>
    </row>
    <row r="612" spans="1:73" ht="15" thickBo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BT612" s="12"/>
      <c r="BU612" s="12"/>
    </row>
    <row r="613" spans="1:73" ht="15" thickBo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BT613" s="12"/>
      <c r="BU613" s="12"/>
    </row>
    <row r="614" spans="1:73" ht="15" thickBo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BT614" s="12"/>
      <c r="BU614" s="12"/>
    </row>
    <row r="615" spans="1:73" ht="15" thickBo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BT615" s="12"/>
      <c r="BU615" s="12"/>
    </row>
    <row r="616" spans="1:73" ht="15" thickBo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BT616" s="12"/>
      <c r="BU616" s="12"/>
    </row>
    <row r="617" spans="1:73" ht="15" thickBo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BT617" s="12"/>
      <c r="BU617" s="12"/>
    </row>
    <row r="618" spans="1:73" ht="15" thickBo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BT618" s="12"/>
      <c r="BU618" s="12"/>
    </row>
    <row r="619" spans="1:73" ht="15" thickBo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BT619" s="12"/>
      <c r="BU619" s="12"/>
    </row>
    <row r="620" spans="1:73" ht="15" thickBo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BT620" s="12"/>
      <c r="BU620" s="12"/>
    </row>
    <row r="621" spans="1:73" ht="15" thickBo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BT621" s="12"/>
      <c r="BU621" s="12"/>
    </row>
    <row r="622" spans="1:73" ht="15" thickBo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BT622" s="12"/>
      <c r="BU622" s="12"/>
    </row>
    <row r="623" spans="1:73" ht="15" thickBo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BT623" s="12"/>
      <c r="BU623" s="12"/>
    </row>
    <row r="624" spans="1:73" ht="15" thickBo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BT624" s="12"/>
      <c r="BU624" s="12"/>
    </row>
    <row r="625" spans="1:73" ht="15" thickBo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BT625" s="12"/>
      <c r="BU625" s="12"/>
    </row>
    <row r="626" spans="1:73" ht="15" thickBo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BT626" s="12"/>
      <c r="BU626" s="12"/>
    </row>
    <row r="627" spans="1:73" ht="15" thickBo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BT627" s="12"/>
      <c r="BU627" s="12"/>
    </row>
    <row r="628" spans="1:73" ht="15" thickBo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BT628" s="12"/>
      <c r="BU628" s="12"/>
    </row>
    <row r="629" spans="1:73" ht="15" thickBo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BT629" s="12"/>
      <c r="BU629" s="12"/>
    </row>
    <row r="630" spans="1:73" ht="15" thickBo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BT630" s="12"/>
      <c r="BU630" s="12"/>
    </row>
    <row r="631" spans="1:73" ht="15" thickBo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BT631" s="12"/>
      <c r="BU631" s="12"/>
    </row>
    <row r="632" spans="1:73" ht="15" thickBo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BT632" s="12"/>
      <c r="BU632" s="12"/>
    </row>
    <row r="633" spans="1:73" ht="15" thickBo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BT633" s="12"/>
      <c r="BU633" s="12"/>
    </row>
    <row r="634" spans="1:73" ht="15" thickBo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BT634" s="12"/>
      <c r="BU634" s="12"/>
    </row>
    <row r="635" spans="1:73" ht="15" thickBo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BT635" s="12"/>
      <c r="BU635" s="12"/>
    </row>
    <row r="636" spans="1:73" ht="15" thickBo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BT636" s="12"/>
      <c r="BU636" s="12"/>
    </row>
    <row r="637" spans="1:73" ht="15" thickBo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BT637" s="12"/>
      <c r="BU637" s="12"/>
    </row>
    <row r="638" spans="1:73" ht="15" thickBo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BT638" s="12"/>
      <c r="BU638" s="12"/>
    </row>
    <row r="639" spans="1:73" ht="15" thickBo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BT639" s="12"/>
      <c r="BU639" s="12"/>
    </row>
    <row r="640" spans="1:73" ht="15" thickBo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BT640" s="12"/>
      <c r="BU640" s="12"/>
    </row>
    <row r="641" spans="1:73" ht="15" thickBo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BT641" s="12"/>
      <c r="BU641" s="12"/>
    </row>
    <row r="642" spans="1:73" ht="15" thickBo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BT642" s="12"/>
      <c r="BU642" s="12"/>
    </row>
    <row r="643" spans="1:73" ht="15" thickBo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BT643" s="12"/>
      <c r="BU643" s="12"/>
    </row>
    <row r="644" spans="1:73" ht="15" thickBo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BT644" s="12"/>
      <c r="BU644" s="12"/>
    </row>
    <row r="645" spans="1:73" ht="15" thickBo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BT645" s="12"/>
      <c r="BU645" s="12"/>
    </row>
    <row r="646" spans="1:73" ht="15" thickBo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BT646" s="12"/>
      <c r="BU646" s="12"/>
    </row>
    <row r="647" spans="1:73" ht="15" thickBo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BT647" s="12"/>
      <c r="BU647" s="12"/>
    </row>
    <row r="648" spans="1:73" ht="15" thickBo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BT648" s="12"/>
      <c r="BU648" s="12"/>
    </row>
    <row r="649" spans="1:73" ht="15" thickBo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BT649" s="12"/>
      <c r="BU649" s="12"/>
    </row>
    <row r="650" spans="1:73" ht="15" thickBo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BT650" s="12"/>
      <c r="BU650" s="12"/>
    </row>
    <row r="651" spans="1:73" ht="15" thickBo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BT651" s="12"/>
      <c r="BU651" s="12"/>
    </row>
    <row r="652" spans="1:73" ht="15" thickBo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BT652" s="12"/>
      <c r="BU652" s="12"/>
    </row>
    <row r="653" spans="1:73" ht="15" thickBo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BT653" s="12"/>
      <c r="BU653" s="12"/>
    </row>
    <row r="654" spans="1:73" ht="15" thickBo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BT654" s="12"/>
      <c r="BU654" s="12"/>
    </row>
    <row r="655" spans="1:73" ht="15" thickBo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BT655" s="12"/>
      <c r="BU655" s="12"/>
    </row>
    <row r="656" spans="1:73" ht="15" thickBo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BT656" s="12"/>
      <c r="BU656" s="12"/>
    </row>
    <row r="657" spans="1:73" ht="15" thickBo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BT657" s="12"/>
      <c r="BU657" s="12"/>
    </row>
    <row r="658" spans="1:73" ht="15" thickBo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BT658" s="12"/>
      <c r="BU658" s="12"/>
    </row>
    <row r="659" spans="1:73" ht="15" thickBo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BT659" s="12"/>
      <c r="BU659" s="12"/>
    </row>
    <row r="660" spans="1:73" ht="15" thickBo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BT660" s="12"/>
      <c r="BU660" s="12"/>
    </row>
    <row r="661" spans="1:73" ht="15" thickBo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BT661" s="12"/>
      <c r="BU661" s="12"/>
    </row>
    <row r="662" spans="1:73" ht="15" thickBo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BT662" s="12"/>
      <c r="BU662" s="12"/>
    </row>
    <row r="663" spans="1:73" ht="15" thickBo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BT663" s="12"/>
      <c r="BU663" s="12"/>
    </row>
    <row r="664" spans="1:73" ht="15" thickBo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BT664" s="12"/>
      <c r="BU664" s="12"/>
    </row>
    <row r="665" spans="1:73" ht="15" thickBo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BT665" s="12"/>
      <c r="BU665" s="12"/>
    </row>
    <row r="666" spans="1:73" ht="15" thickBo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BT666" s="12"/>
      <c r="BU666" s="12"/>
    </row>
    <row r="667" spans="1:73" ht="15" thickBo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BT667" s="12"/>
      <c r="BU667" s="12"/>
    </row>
    <row r="668" spans="1:73" ht="15" thickBo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BT668" s="12"/>
      <c r="BU668" s="12"/>
    </row>
    <row r="669" spans="1:73" ht="15" thickBo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BT669" s="12"/>
      <c r="BU669" s="12"/>
    </row>
    <row r="670" spans="1:73" ht="15" thickBo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BT670" s="12"/>
      <c r="BU670" s="12"/>
    </row>
    <row r="671" spans="1:73" ht="15" thickBo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BT671" s="12"/>
      <c r="BU671" s="12"/>
    </row>
    <row r="672" spans="1:73" ht="15" thickBo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BT672" s="12"/>
      <c r="BU672" s="12"/>
    </row>
    <row r="673" spans="1:73" ht="15" thickBo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BT673" s="12"/>
      <c r="BU673" s="12"/>
    </row>
    <row r="674" spans="1:73" ht="15" thickBo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BT674" s="12"/>
      <c r="BU674" s="12"/>
    </row>
    <row r="675" spans="1:73" ht="15" thickBo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BT675" s="12"/>
      <c r="BU675" s="12"/>
    </row>
    <row r="676" spans="1:73" ht="15" thickBo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BT676" s="12"/>
      <c r="BU676" s="12"/>
    </row>
    <row r="677" spans="1:73" ht="15" thickBo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BT677" s="12"/>
      <c r="BU677" s="12"/>
    </row>
    <row r="678" spans="1:73" ht="15" thickBo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BT678" s="12"/>
      <c r="BU678" s="12"/>
    </row>
    <row r="679" spans="1:73" ht="15" thickBo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BT679" s="12"/>
      <c r="BU679" s="12"/>
    </row>
    <row r="680" spans="1:73" ht="15" thickBo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BT680" s="12"/>
      <c r="BU680" s="12"/>
    </row>
    <row r="681" spans="1:73" ht="15" thickBo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BT681" s="12"/>
      <c r="BU681" s="12"/>
    </row>
    <row r="682" spans="1:73" ht="15" thickBo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BT682" s="12"/>
      <c r="BU682" s="12"/>
    </row>
    <row r="683" spans="1:73" ht="15" thickBo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BT683" s="12"/>
      <c r="BU683" s="12"/>
    </row>
    <row r="684" spans="1:73" ht="15" thickBo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BT684" s="12"/>
      <c r="BU684" s="12"/>
    </row>
    <row r="685" spans="1:73" ht="15" thickBo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BT685" s="12"/>
      <c r="BU685" s="12"/>
    </row>
    <row r="686" spans="1:73" ht="15" thickBo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BT686" s="12"/>
      <c r="BU686" s="12"/>
    </row>
    <row r="687" spans="1:73" ht="15" thickBo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BT687" s="12"/>
      <c r="BU687" s="12"/>
    </row>
    <row r="688" spans="1:73" ht="15" thickBo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BT688" s="12"/>
      <c r="BU688" s="12"/>
    </row>
    <row r="689" spans="1:73" ht="15" thickBo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BT689" s="12"/>
      <c r="BU689" s="12"/>
    </row>
    <row r="690" spans="1:73" ht="15" thickBo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BT690" s="12"/>
      <c r="BU690" s="12"/>
    </row>
    <row r="691" spans="1:73" ht="15" thickBo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BT691" s="12"/>
      <c r="BU691" s="12"/>
    </row>
    <row r="692" spans="1:73" ht="15" thickBo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BT692" s="12"/>
      <c r="BU692" s="12"/>
    </row>
    <row r="693" spans="1:73" ht="15" thickBo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BT693" s="12"/>
      <c r="BU693" s="12"/>
    </row>
    <row r="694" spans="1:73" ht="15" thickBo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BT694" s="12"/>
      <c r="BU694" s="12"/>
    </row>
    <row r="695" spans="1:73" ht="15" thickBo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BT695" s="12"/>
      <c r="BU695" s="12"/>
    </row>
    <row r="696" spans="1:73" ht="15" thickBo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BT696" s="12"/>
      <c r="BU696" s="12"/>
    </row>
    <row r="697" spans="1:73" ht="15" thickBo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BT697" s="12"/>
      <c r="BU697" s="12"/>
    </row>
    <row r="698" spans="1:73" ht="15" thickBo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BT698" s="12"/>
      <c r="BU698" s="12"/>
    </row>
    <row r="699" spans="1:73" ht="15" thickBo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BT699" s="12"/>
      <c r="BU699" s="12"/>
    </row>
    <row r="700" spans="1:73" ht="15" thickBo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BT700" s="12"/>
      <c r="BU700" s="12"/>
    </row>
    <row r="701" spans="1:73" ht="15" thickBo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BT701" s="12"/>
      <c r="BU701" s="12"/>
    </row>
    <row r="702" spans="1:73" ht="15" thickBo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BT702" s="12"/>
      <c r="BU702" s="12"/>
    </row>
    <row r="703" spans="1:73" ht="15" thickBo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BT703" s="12"/>
      <c r="BU703" s="12"/>
    </row>
    <row r="704" spans="1:73" ht="15" thickBo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BT704" s="12"/>
      <c r="BU704" s="12"/>
    </row>
    <row r="705" spans="1:73" ht="15" thickBo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BT705" s="12"/>
      <c r="BU705" s="12"/>
    </row>
    <row r="706" spans="1:73" ht="15" thickBo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BT706" s="12"/>
      <c r="BU706" s="12"/>
    </row>
    <row r="707" spans="1:73" ht="15" thickBo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BT707" s="12"/>
      <c r="BU707" s="12"/>
    </row>
    <row r="708" spans="1:73" ht="15" thickBo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BT708" s="12"/>
      <c r="BU708" s="12"/>
    </row>
    <row r="709" spans="1:73" ht="15" thickBo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BT709" s="12"/>
      <c r="BU709" s="12"/>
    </row>
    <row r="710" spans="1:73" ht="15" thickBo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BT710" s="12"/>
      <c r="BU710" s="12"/>
    </row>
    <row r="711" spans="1:73" ht="15" thickBo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BT711" s="12"/>
      <c r="BU711" s="12"/>
    </row>
    <row r="712" spans="1:73" ht="15" thickBo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BT712" s="12"/>
      <c r="BU712" s="12"/>
    </row>
    <row r="713" spans="1:73" ht="15" thickBo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BT713" s="12"/>
      <c r="BU713" s="12"/>
    </row>
    <row r="714" spans="1:73" ht="15" thickBo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BT714" s="12"/>
      <c r="BU714" s="12"/>
    </row>
    <row r="715" spans="1:73" ht="15" thickBo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BT715" s="12"/>
      <c r="BU715" s="12"/>
    </row>
    <row r="716" spans="1:73" ht="15" thickBo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BT716" s="12"/>
      <c r="BU716" s="12"/>
    </row>
    <row r="717" spans="1:73" ht="15" thickBo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BT717" s="12"/>
      <c r="BU717" s="12"/>
    </row>
    <row r="718" spans="1:73" ht="15" thickBo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BT718" s="12"/>
      <c r="BU718" s="12"/>
    </row>
    <row r="719" spans="1:73" ht="15" thickBo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BT719" s="12"/>
      <c r="BU719" s="12"/>
    </row>
    <row r="720" spans="1:73" ht="15" thickBo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BT720" s="12"/>
      <c r="BU720" s="12"/>
    </row>
    <row r="721" spans="1:73" ht="15" thickBo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BT721" s="12"/>
      <c r="BU721" s="12"/>
    </row>
    <row r="722" spans="1:73" ht="15" thickBo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BT722" s="12"/>
      <c r="BU722" s="12"/>
    </row>
    <row r="723" spans="1:73" ht="15" thickBo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BT723" s="12"/>
      <c r="BU723" s="12"/>
    </row>
    <row r="724" spans="1:73" ht="15" thickBo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BT724" s="12"/>
      <c r="BU724" s="12"/>
    </row>
    <row r="725" spans="1:73" ht="15" thickBo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BT725" s="12"/>
      <c r="BU725" s="12"/>
    </row>
    <row r="726" spans="1:73" ht="15" thickBo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BT726" s="12"/>
      <c r="BU726" s="12"/>
    </row>
    <row r="727" spans="1:73" ht="15" thickBo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BT727" s="12"/>
      <c r="BU727" s="12"/>
    </row>
    <row r="728" spans="1:73" ht="15" thickBo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BT728" s="12"/>
      <c r="BU728" s="12"/>
    </row>
    <row r="729" spans="1:73" ht="15" thickBo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BT729" s="12"/>
      <c r="BU729" s="12"/>
    </row>
    <row r="730" spans="1:73" ht="15" thickBo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BT730" s="12"/>
      <c r="BU730" s="12"/>
    </row>
    <row r="731" spans="1:73" ht="15" thickBo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BT731" s="12"/>
      <c r="BU731" s="12"/>
    </row>
    <row r="732" spans="1:73" ht="15" thickBo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BT732" s="12"/>
      <c r="BU732" s="12"/>
    </row>
    <row r="733" spans="1:73" ht="15" thickBo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BT733" s="12"/>
      <c r="BU733" s="12"/>
    </row>
    <row r="734" spans="1:73" ht="15" thickBo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BT734" s="12"/>
      <c r="BU734" s="12"/>
    </row>
    <row r="735" spans="1:73" ht="15" thickBo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BT735" s="12"/>
      <c r="BU735" s="12"/>
    </row>
    <row r="736" spans="1:73" ht="15" thickBo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BT736" s="12"/>
      <c r="BU736" s="12"/>
    </row>
    <row r="737" spans="1:73" ht="15" thickBo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BT737" s="12"/>
      <c r="BU737" s="12"/>
    </row>
    <row r="738" spans="1:73" ht="15" thickBo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BT738" s="12"/>
      <c r="BU738" s="12"/>
    </row>
    <row r="739" spans="1:73" ht="15" thickBo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BT739" s="12"/>
      <c r="BU739" s="12"/>
    </row>
    <row r="740" spans="1:73" ht="15" thickBo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BT740" s="12"/>
      <c r="BU740" s="12"/>
    </row>
    <row r="741" spans="1:73" ht="15" thickBo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BT741" s="12"/>
      <c r="BU741" s="12"/>
    </row>
    <row r="742" spans="1:73" ht="15" thickBo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BT742" s="12"/>
      <c r="BU742" s="12"/>
    </row>
    <row r="743" spans="1:73" ht="15" thickBo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BT743" s="12"/>
      <c r="BU743" s="12"/>
    </row>
    <row r="744" spans="1:73" ht="15" thickBo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BT744" s="12"/>
      <c r="BU744" s="12"/>
    </row>
    <row r="745" spans="1:73" ht="15" thickBo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BT745" s="12"/>
      <c r="BU745" s="12"/>
    </row>
    <row r="746" spans="1:73" ht="15" thickBo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BT746" s="12"/>
      <c r="BU746" s="12"/>
    </row>
    <row r="747" spans="1:73" ht="15" thickBo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BT747" s="12"/>
      <c r="BU747" s="12"/>
    </row>
    <row r="748" spans="1:73" ht="15" thickBo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BT748" s="12"/>
      <c r="BU748" s="12"/>
    </row>
    <row r="749" spans="1:73" ht="15" thickBo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BT749" s="12"/>
      <c r="BU749" s="12"/>
    </row>
    <row r="750" spans="1:73" ht="15" thickBo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BT750" s="12"/>
      <c r="BU750" s="12"/>
    </row>
    <row r="751" spans="1:73" ht="15" thickBo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BT751" s="12"/>
      <c r="BU751" s="12"/>
    </row>
    <row r="752" spans="1:73" ht="15" thickBo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BT752" s="12"/>
      <c r="BU752" s="12"/>
    </row>
    <row r="753" spans="1:73" ht="15" thickBo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BT753" s="12"/>
      <c r="BU753" s="12"/>
    </row>
    <row r="754" spans="1:73" ht="15" thickBo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BT754" s="12"/>
      <c r="BU754" s="12"/>
    </row>
    <row r="755" spans="1:73" ht="15" thickBo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BT755" s="12"/>
      <c r="BU755" s="12"/>
    </row>
    <row r="756" spans="1:73" ht="15" thickBo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BT756" s="12"/>
      <c r="BU756" s="12"/>
    </row>
    <row r="757" spans="1:73" ht="15" thickBo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BT757" s="12"/>
      <c r="BU757" s="12"/>
    </row>
    <row r="758" spans="1:73" ht="15" thickBo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BT758" s="12"/>
      <c r="BU758" s="12"/>
    </row>
    <row r="759" spans="1:73" ht="15" thickBo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BT759" s="12"/>
      <c r="BU759" s="12"/>
    </row>
    <row r="760" spans="1:73" ht="15" thickBo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BT760" s="12"/>
      <c r="BU760" s="12"/>
    </row>
    <row r="761" spans="1:73" ht="15" thickBo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BT761" s="12"/>
      <c r="BU761" s="12"/>
    </row>
    <row r="762" spans="1:73" ht="15" thickBo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BT762" s="12"/>
      <c r="BU762" s="12"/>
    </row>
    <row r="763" spans="1:73" ht="15" thickBo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BT763" s="12"/>
      <c r="BU763" s="12"/>
    </row>
    <row r="764" spans="1:73" ht="15" thickBo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BT764" s="12"/>
      <c r="BU764" s="12"/>
    </row>
    <row r="765" spans="1:73" ht="15" thickBo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BT765" s="12"/>
      <c r="BU765" s="12"/>
    </row>
    <row r="766" spans="1:73" ht="15" thickBo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BT766" s="12"/>
      <c r="BU766" s="12"/>
    </row>
    <row r="767" spans="1:73" ht="15" thickBo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BT767" s="12"/>
      <c r="BU767" s="12"/>
    </row>
    <row r="768" spans="1:73" ht="15" thickBo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BT768" s="12"/>
      <c r="BU768" s="12"/>
    </row>
    <row r="769" spans="1:73" ht="15" thickBo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BT769" s="12"/>
      <c r="BU769" s="12"/>
    </row>
    <row r="770" spans="1:73" ht="15" thickBo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BT770" s="12"/>
      <c r="BU770" s="12"/>
    </row>
    <row r="771" spans="1:73" ht="15" thickBo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BT771" s="12"/>
      <c r="BU771" s="12"/>
    </row>
    <row r="772" spans="1:73" ht="15" thickBo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BT772" s="12"/>
      <c r="BU772" s="12"/>
    </row>
    <row r="773" spans="1:73" ht="15" thickBo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BT773" s="12"/>
      <c r="BU773" s="12"/>
    </row>
    <row r="774" spans="1:73" ht="15" thickBo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BT774" s="12"/>
      <c r="BU774" s="12"/>
    </row>
    <row r="775" spans="1:73" ht="15" thickBo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BT775" s="12"/>
      <c r="BU775" s="12"/>
    </row>
    <row r="776" spans="1:73" ht="15" thickBo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BT776" s="12"/>
      <c r="BU776" s="12"/>
    </row>
    <row r="777" spans="1:73" ht="15" thickBo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BT777" s="12"/>
      <c r="BU777" s="12"/>
    </row>
    <row r="778" spans="1:73" ht="15" thickBo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BT778" s="12"/>
      <c r="BU778" s="12"/>
    </row>
    <row r="779" spans="1:73" ht="15" thickBo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BT779" s="12"/>
      <c r="BU779" s="12"/>
    </row>
    <row r="780" spans="1:73" ht="15" thickBo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BT780" s="12"/>
      <c r="BU780" s="12"/>
    </row>
    <row r="781" spans="1:73" ht="15" thickBo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BT781" s="12"/>
      <c r="BU781" s="12"/>
    </row>
    <row r="782" spans="1:73" ht="15" thickBo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BT782" s="12"/>
      <c r="BU782" s="12"/>
    </row>
    <row r="783" spans="1:73" ht="15" thickBo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BT783" s="12"/>
      <c r="BU783" s="12"/>
    </row>
    <row r="784" spans="1:73" ht="15" thickBo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BT784" s="12"/>
      <c r="BU784" s="12"/>
    </row>
    <row r="785" spans="1:73" ht="15" thickBo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BT785" s="12"/>
      <c r="BU785" s="12"/>
    </row>
    <row r="786" spans="1:73" ht="15" thickBo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BT786" s="12"/>
      <c r="BU786" s="12"/>
    </row>
    <row r="787" spans="1:73" ht="15" thickBo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BT787" s="12"/>
      <c r="BU787" s="12"/>
    </row>
    <row r="788" spans="1:73" ht="15" thickBo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BT788" s="12"/>
      <c r="BU788" s="12"/>
    </row>
    <row r="789" spans="1:73" ht="15" thickBo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BT789" s="12"/>
      <c r="BU789" s="12"/>
    </row>
    <row r="790" spans="1:73" ht="15" thickBo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BT790" s="12"/>
      <c r="BU790" s="12"/>
    </row>
    <row r="791" spans="1:73" ht="15" thickBo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BT791" s="12"/>
      <c r="BU791" s="12"/>
    </row>
    <row r="792" spans="1:73" ht="15" thickBo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BT792" s="12"/>
      <c r="BU792" s="12"/>
    </row>
    <row r="793" spans="1:73" ht="15" thickBo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BT793" s="12"/>
      <c r="BU793" s="12"/>
    </row>
    <row r="794" spans="1:73" ht="15" thickBo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BT794" s="12"/>
      <c r="BU794" s="12"/>
    </row>
    <row r="795" spans="1:73" ht="15" thickBo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BT795" s="12"/>
      <c r="BU795" s="12"/>
    </row>
    <row r="796" spans="1:73" ht="15" thickBo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BT796" s="12"/>
      <c r="BU796" s="12"/>
    </row>
    <row r="797" spans="1:73" ht="15" thickBo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BT797" s="12"/>
      <c r="BU797" s="12"/>
    </row>
    <row r="798" spans="1:73" ht="15" thickBo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BT798" s="12"/>
      <c r="BU798" s="12"/>
    </row>
    <row r="799" spans="1:73" ht="15" thickBo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BT799" s="12"/>
      <c r="BU799" s="12"/>
    </row>
    <row r="800" spans="1:73" ht="15" thickBo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BT800" s="12"/>
      <c r="BU800" s="12"/>
    </row>
    <row r="801" spans="1:73" ht="15" thickBo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BT801" s="12"/>
      <c r="BU801" s="12"/>
    </row>
    <row r="802" spans="1:73" ht="15" thickBo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BT802" s="12"/>
      <c r="BU802" s="12"/>
    </row>
    <row r="803" spans="1:73" ht="15" thickBo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BT803" s="12"/>
      <c r="BU803" s="12"/>
    </row>
    <row r="804" spans="1:73" ht="15" thickBo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BT804" s="12"/>
      <c r="BU804" s="12"/>
    </row>
    <row r="805" spans="1:73" ht="15" thickBo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BT805" s="12"/>
      <c r="BU805" s="12"/>
    </row>
    <row r="806" spans="1:73" ht="15" thickBo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BT806" s="12"/>
      <c r="BU806" s="12"/>
    </row>
    <row r="807" spans="1:73" ht="15" thickBo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BT807" s="12"/>
      <c r="BU807" s="12"/>
    </row>
    <row r="808" spans="1:73" ht="15" thickBo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BT808" s="12"/>
      <c r="BU808" s="12"/>
    </row>
    <row r="809" spans="1:73" ht="15" thickBo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BT809" s="12"/>
      <c r="BU809" s="12"/>
    </row>
    <row r="810" spans="1:73" ht="15" thickBo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BT810" s="12"/>
      <c r="BU810" s="12"/>
    </row>
    <row r="811" spans="1:73" ht="15" thickBo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BT811" s="12"/>
      <c r="BU811" s="12"/>
    </row>
    <row r="812" spans="1:73" ht="15" thickBo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BT812" s="12"/>
      <c r="BU812" s="12"/>
    </row>
    <row r="813" spans="1:73" ht="15" thickBo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BT813" s="12"/>
      <c r="BU813" s="12"/>
    </row>
    <row r="814" spans="1:73" ht="15" thickBo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BT814" s="12"/>
      <c r="BU814" s="12"/>
    </row>
    <row r="815" spans="1:73" ht="15" thickBo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BT815" s="12"/>
      <c r="BU815" s="12"/>
    </row>
    <row r="816" spans="1:73" ht="15" thickBo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BT816" s="12"/>
      <c r="BU816" s="12"/>
    </row>
    <row r="817" spans="1:73" ht="15" thickBo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BT817" s="12"/>
      <c r="BU817" s="12"/>
    </row>
    <row r="818" spans="1:73" ht="15" thickBo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BT818" s="12"/>
      <c r="BU818" s="12"/>
    </row>
    <row r="819" spans="1:73" ht="15" thickBo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BT819" s="12"/>
      <c r="BU819" s="12"/>
    </row>
    <row r="820" spans="1:73" ht="15" thickBo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BT820" s="12"/>
      <c r="BU820" s="12"/>
    </row>
    <row r="821" spans="1:73" ht="15" thickBo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BT821" s="12"/>
      <c r="BU821" s="12"/>
    </row>
    <row r="822" spans="1:73" ht="15" thickBo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BT822" s="12"/>
      <c r="BU822" s="12"/>
    </row>
    <row r="823" spans="1:73" ht="15" thickBo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BT823" s="12"/>
      <c r="BU823" s="12"/>
    </row>
    <row r="824" spans="1:73" ht="15" thickBo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BT824" s="12"/>
      <c r="BU824" s="12"/>
    </row>
    <row r="825" spans="1:73" ht="15" thickBo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BT825" s="12"/>
      <c r="BU825" s="12"/>
    </row>
    <row r="826" spans="1:73" ht="15" thickBo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BT826" s="12"/>
      <c r="BU826" s="12"/>
    </row>
    <row r="827" spans="1:73" ht="15" thickBo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BT827" s="12"/>
      <c r="BU827" s="12"/>
    </row>
    <row r="828" spans="1:73" ht="15" thickBo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BT828" s="12"/>
      <c r="BU828" s="12"/>
    </row>
    <row r="829" spans="1:73" ht="15" thickBo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BT829" s="12"/>
      <c r="BU829" s="12"/>
    </row>
    <row r="830" spans="1:73" ht="15" thickBo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BT830" s="12"/>
      <c r="BU830" s="12"/>
    </row>
    <row r="831" spans="1:73" ht="15" thickBo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BT831" s="12"/>
      <c r="BU831" s="12"/>
    </row>
    <row r="832" spans="1:73" ht="15" thickBo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BT832" s="12"/>
      <c r="BU832" s="12"/>
    </row>
    <row r="833" spans="1:73" ht="15" thickBo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BT833" s="12"/>
      <c r="BU833" s="12"/>
    </row>
    <row r="834" spans="1:73" ht="15" thickBo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BT834" s="12"/>
      <c r="BU834" s="12"/>
    </row>
    <row r="835" spans="1:73" ht="15" thickBo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BT835" s="12"/>
      <c r="BU835" s="12"/>
    </row>
    <row r="836" spans="1:73" ht="15" thickBo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BT836" s="12"/>
      <c r="BU836" s="12"/>
    </row>
    <row r="837" spans="1:73" ht="15" thickBo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BT837" s="12"/>
      <c r="BU837" s="12"/>
    </row>
    <row r="838" spans="1:73" ht="15" thickBo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BT838" s="12"/>
      <c r="BU838" s="12"/>
    </row>
    <row r="839" spans="1:73" ht="15" thickBo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BT839" s="12"/>
      <c r="BU839" s="12"/>
    </row>
    <row r="840" spans="1:73" ht="15" thickBo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BT840" s="12"/>
      <c r="BU840" s="12"/>
    </row>
    <row r="841" spans="1:73" ht="15" thickBo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BT841" s="12"/>
      <c r="BU841" s="12"/>
    </row>
    <row r="842" spans="1:73" ht="15" thickBo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BT842" s="12"/>
      <c r="BU842" s="12"/>
    </row>
    <row r="843" spans="1:73" ht="15" thickBo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BT843" s="12"/>
      <c r="BU843" s="12"/>
    </row>
    <row r="844" spans="1:73" ht="15" thickBo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BT844" s="12"/>
      <c r="BU844" s="12"/>
    </row>
    <row r="845" spans="1:73" ht="15" thickBo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BT845" s="12"/>
      <c r="BU845" s="12"/>
    </row>
    <row r="846" spans="1:73" ht="15" thickBo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BT846" s="12"/>
      <c r="BU846" s="12"/>
    </row>
    <row r="847" spans="1:73" ht="15" thickBo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BT847" s="12"/>
      <c r="BU847" s="12"/>
    </row>
    <row r="848" spans="1:73" ht="15" thickBo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BT848" s="12"/>
      <c r="BU848" s="12"/>
    </row>
    <row r="849" spans="1:73" ht="15" thickBo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BT849" s="12"/>
      <c r="BU849" s="12"/>
    </row>
    <row r="850" spans="1:73" ht="15" thickBo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BT850" s="12"/>
      <c r="BU850" s="12"/>
    </row>
    <row r="851" spans="1:73" ht="15" thickBo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BT851" s="12"/>
      <c r="BU851" s="12"/>
    </row>
    <row r="852" spans="1:73" ht="15" thickBo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BT852" s="12"/>
      <c r="BU852" s="12"/>
    </row>
    <row r="853" spans="1:73" ht="15" thickBo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BT853" s="12"/>
      <c r="BU853" s="12"/>
    </row>
    <row r="854" spans="1:73" ht="15" thickBo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BT854" s="12"/>
      <c r="BU854" s="12"/>
    </row>
    <row r="855" spans="1:73" ht="15" thickBo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BT855" s="12"/>
      <c r="BU855" s="12"/>
    </row>
    <row r="856" spans="1:73" ht="15" thickBo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BT856" s="12"/>
      <c r="BU856" s="12"/>
    </row>
    <row r="857" spans="1:73" ht="15" thickBo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BT857" s="12"/>
      <c r="BU857" s="12"/>
    </row>
    <row r="858" spans="1:73" ht="15" thickBo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BT858" s="12"/>
      <c r="BU858" s="12"/>
    </row>
    <row r="859" spans="1:73" ht="15" thickBo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BT859" s="12"/>
      <c r="BU859" s="12"/>
    </row>
    <row r="860" spans="1:73" ht="15" thickBo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BT860" s="12"/>
      <c r="BU860" s="12"/>
    </row>
    <row r="861" spans="1:73" ht="15" thickBo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BT861" s="12"/>
      <c r="BU861" s="12"/>
    </row>
    <row r="862" spans="1:73" ht="15" thickBo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BT862" s="12"/>
      <c r="BU862" s="12"/>
    </row>
    <row r="863" spans="1:73" ht="15" thickBo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BT863" s="12"/>
      <c r="BU863" s="12"/>
    </row>
    <row r="864" spans="1:73" ht="15" thickBo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BT864" s="12"/>
      <c r="BU864" s="12"/>
    </row>
    <row r="865" spans="1:73" ht="15" thickBo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BT865" s="12"/>
      <c r="BU865" s="12"/>
    </row>
    <row r="866" spans="1:73" ht="15" thickBo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BT866" s="12"/>
      <c r="BU866" s="12"/>
    </row>
    <row r="867" spans="1:73" ht="15" thickBo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BT867" s="12"/>
      <c r="BU867" s="12"/>
    </row>
    <row r="868" spans="1:73" ht="15" thickBo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BT868" s="12"/>
      <c r="BU868" s="12"/>
    </row>
    <row r="869" spans="1:73" ht="15" thickBo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BT869" s="12"/>
      <c r="BU869" s="12"/>
    </row>
    <row r="870" spans="1:73" ht="15" thickBo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BT870" s="12"/>
      <c r="BU870" s="12"/>
    </row>
    <row r="871" spans="1:73" ht="15" thickBo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BT871" s="12"/>
      <c r="BU871" s="12"/>
    </row>
    <row r="872" spans="1:73" ht="15" thickBo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BT872" s="12"/>
      <c r="BU872" s="12"/>
    </row>
    <row r="873" spans="1:73" ht="15" thickBo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BT873" s="12"/>
      <c r="BU873" s="12"/>
    </row>
    <row r="874" spans="1:73" ht="15" thickBo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BT874" s="12"/>
      <c r="BU874" s="12"/>
    </row>
    <row r="875" spans="1:73" ht="15" thickBo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BT875" s="12"/>
      <c r="BU875" s="12"/>
    </row>
    <row r="876" spans="1:73" ht="15" thickBo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BT876" s="12"/>
      <c r="BU876" s="12"/>
    </row>
    <row r="877" spans="1:73" ht="15" thickBo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BT877" s="12"/>
      <c r="BU877" s="12"/>
    </row>
    <row r="878" spans="1:73" ht="15" thickBo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BT878" s="12"/>
      <c r="BU878" s="12"/>
    </row>
    <row r="879" spans="1:73" ht="15" thickBo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BT879" s="12"/>
      <c r="BU879" s="12"/>
    </row>
    <row r="880" spans="1:73" ht="15" thickBo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BT880" s="12"/>
      <c r="BU880" s="12"/>
    </row>
    <row r="881" spans="1:73" ht="15" thickBo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BT881" s="12"/>
      <c r="BU881" s="12"/>
    </row>
    <row r="882" spans="1:73" ht="15" thickBo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BT882" s="12"/>
      <c r="BU882" s="12"/>
    </row>
    <row r="883" spans="1:73" ht="15" thickBo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BT883" s="12"/>
      <c r="BU883" s="12"/>
    </row>
    <row r="884" spans="1:73" ht="15" thickBo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BT884" s="12"/>
      <c r="BU884" s="12"/>
    </row>
    <row r="885" spans="1:73" ht="15" thickBo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BT885" s="12"/>
      <c r="BU885" s="12"/>
    </row>
    <row r="886" spans="1:73" ht="15" thickBo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BT886" s="12"/>
      <c r="BU886" s="12"/>
    </row>
    <row r="887" spans="1:73" ht="15" thickBo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BT887" s="12"/>
      <c r="BU887" s="12"/>
    </row>
    <row r="888" spans="1:73" ht="15" thickBo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BT888" s="12"/>
      <c r="BU888" s="12"/>
    </row>
    <row r="889" spans="1:73" ht="15" thickBo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BT889" s="12"/>
      <c r="BU889" s="12"/>
    </row>
    <row r="890" spans="1:73" ht="15" thickBo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BT890" s="12"/>
      <c r="BU890" s="12"/>
    </row>
    <row r="891" spans="1:73" ht="15" thickBo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BT891" s="12"/>
      <c r="BU891" s="12"/>
    </row>
    <row r="892" spans="1:73" ht="15" thickBo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BT892" s="12"/>
      <c r="BU892" s="12"/>
    </row>
    <row r="893" spans="1:73" ht="15" thickBo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BT893" s="12"/>
      <c r="BU893" s="12"/>
    </row>
    <row r="894" spans="1:73" ht="15" thickBo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BT894" s="12"/>
      <c r="BU894" s="12"/>
    </row>
    <row r="895" spans="1:73" ht="15" thickBo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BT895" s="12"/>
      <c r="BU895" s="12"/>
    </row>
    <row r="896" spans="1:73" ht="15" thickBo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BT896" s="12"/>
      <c r="BU896" s="12"/>
    </row>
    <row r="897" spans="1:73" ht="15" thickBo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BT897" s="12"/>
      <c r="BU897" s="12"/>
    </row>
    <row r="898" spans="1:73" ht="15" thickBo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BT898" s="12"/>
      <c r="BU898" s="12"/>
    </row>
    <row r="899" spans="1:73" ht="15" thickBo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BT899" s="12"/>
      <c r="BU899" s="12"/>
    </row>
    <row r="900" spans="1:73" ht="15" thickBo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BT900" s="12"/>
      <c r="BU900" s="12"/>
    </row>
    <row r="901" spans="1:73" ht="15" thickBo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BT901" s="12"/>
      <c r="BU901" s="12"/>
    </row>
    <row r="902" spans="1:73" ht="15" thickBo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BT902" s="12"/>
      <c r="BU902" s="12"/>
    </row>
    <row r="903" spans="1:73" ht="15" thickBo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BT903" s="12"/>
      <c r="BU903" s="12"/>
    </row>
    <row r="904" spans="1:73" ht="15" thickBo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BT904" s="12"/>
      <c r="BU904" s="12"/>
    </row>
    <row r="905" spans="1:73" ht="15" thickBo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BT905" s="12"/>
      <c r="BU905" s="12"/>
    </row>
    <row r="906" spans="1:73" ht="15" thickBo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BT906" s="12"/>
      <c r="BU906" s="12"/>
    </row>
    <row r="907" spans="1:73" ht="15" thickBo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BT907" s="12"/>
      <c r="BU907" s="12"/>
    </row>
    <row r="908" spans="1:73" ht="15" thickBo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BT908" s="12"/>
      <c r="BU908" s="12"/>
    </row>
    <row r="909" spans="1:73" ht="15" thickBo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BT909" s="12"/>
      <c r="BU909" s="12"/>
    </row>
    <row r="910" spans="1:73" ht="15" thickBo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BT910" s="12"/>
      <c r="BU910" s="12"/>
    </row>
    <row r="911" spans="1:73" ht="15" thickBo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BT911" s="12"/>
      <c r="BU911" s="12"/>
    </row>
    <row r="912" spans="1:73" ht="15" thickBo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BT912" s="12"/>
      <c r="BU912" s="12"/>
    </row>
    <row r="913" spans="1:73" ht="15" thickBo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BT913" s="12"/>
      <c r="BU913" s="12"/>
    </row>
    <row r="914" spans="1:73" ht="15" thickBo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BT914" s="12"/>
      <c r="BU914" s="12"/>
    </row>
    <row r="915" spans="1:73" ht="15" thickBo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BT915" s="12"/>
      <c r="BU915" s="12"/>
    </row>
    <row r="916" spans="1:73" ht="15" thickBo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BT916" s="12"/>
      <c r="BU916" s="12"/>
    </row>
    <row r="917" spans="1:73" ht="15" thickBo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BT917" s="12"/>
      <c r="BU917" s="12"/>
    </row>
    <row r="918" spans="1:73" ht="15" thickBo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BT918" s="12"/>
      <c r="BU918" s="12"/>
    </row>
    <row r="919" spans="1:73" ht="15" thickBo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BT919" s="12"/>
      <c r="BU919" s="12"/>
    </row>
    <row r="920" spans="1:73" ht="15" thickBo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BT920" s="12"/>
      <c r="BU920" s="12"/>
    </row>
    <row r="921" spans="1:73" ht="15" thickBo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BT921" s="12"/>
      <c r="BU921" s="12"/>
    </row>
    <row r="922" spans="1:73" ht="15" thickBo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BT922" s="12"/>
      <c r="BU922" s="12"/>
    </row>
    <row r="923" spans="1:73" ht="15" thickBo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BT923" s="12"/>
      <c r="BU923" s="12"/>
    </row>
    <row r="924" spans="1:73" ht="15" thickBo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BT924" s="12"/>
      <c r="BU924" s="12"/>
    </row>
    <row r="925" spans="1:73" ht="15" thickBo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BT925" s="12"/>
      <c r="BU925" s="12"/>
    </row>
    <row r="926" spans="1:73" ht="15" thickBo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BT926" s="12"/>
      <c r="BU926" s="12"/>
    </row>
    <row r="927" spans="1:73" ht="15" thickBo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BT927" s="12"/>
      <c r="BU927" s="12"/>
    </row>
    <row r="928" spans="1:73" ht="15" thickBo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BT928" s="12"/>
      <c r="BU928" s="12"/>
    </row>
    <row r="929" spans="1:73" ht="15" thickBo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BT929" s="12"/>
      <c r="BU929" s="12"/>
    </row>
    <row r="930" spans="1:73" ht="15" thickBo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BT930" s="12"/>
      <c r="BU930" s="12"/>
    </row>
    <row r="931" spans="1:73" ht="15" thickBo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BT931" s="12"/>
      <c r="BU931" s="12"/>
    </row>
    <row r="932" spans="1:73" ht="15" thickBo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BT932" s="12"/>
      <c r="BU932" s="12"/>
    </row>
    <row r="933" spans="1:73" ht="15" thickBo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BT933" s="12"/>
      <c r="BU933" s="12"/>
    </row>
    <row r="934" spans="1:73" ht="15" thickBo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BT934" s="12"/>
      <c r="BU934" s="12"/>
    </row>
    <row r="935" spans="1:73" ht="15" thickBo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BT935" s="12"/>
      <c r="BU935" s="12"/>
    </row>
    <row r="936" spans="1:73" ht="15" thickBo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BT936" s="12"/>
      <c r="BU936" s="12"/>
    </row>
    <row r="937" spans="1:73" ht="15" thickBo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BT937" s="12"/>
      <c r="BU937" s="12"/>
    </row>
    <row r="938" spans="1:73" ht="15" thickBo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BT938" s="12"/>
      <c r="BU938" s="12"/>
    </row>
    <row r="939" spans="1:73" ht="15" thickBo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BT939" s="12"/>
      <c r="BU939" s="12"/>
    </row>
    <row r="940" spans="1:73" ht="15" thickBo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BT940" s="12"/>
      <c r="BU940" s="12"/>
    </row>
    <row r="941" spans="1:73" ht="15" thickBo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BT941" s="12"/>
      <c r="BU941" s="12"/>
    </row>
    <row r="942" spans="1:73" ht="15" thickBo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BT942" s="12"/>
      <c r="BU942" s="12"/>
    </row>
    <row r="943" spans="1:73" ht="15" thickBo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BT943" s="12"/>
      <c r="BU943" s="12"/>
    </row>
    <row r="944" spans="1:73" ht="15" thickBo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BT944" s="12"/>
      <c r="BU944" s="12"/>
    </row>
    <row r="945" spans="1:73" ht="15" thickBo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BT945" s="12"/>
      <c r="BU945" s="12"/>
    </row>
    <row r="946" spans="1:73" ht="15" thickBo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BT946" s="12"/>
      <c r="BU946" s="12"/>
    </row>
    <row r="947" spans="1:73" ht="15" thickBo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BT947" s="12"/>
      <c r="BU947" s="12"/>
    </row>
    <row r="948" spans="1:73" ht="15" thickBo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BT948" s="12"/>
      <c r="BU948" s="12"/>
    </row>
    <row r="949" spans="1:73" ht="15" thickBo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BT949" s="12"/>
      <c r="BU949" s="12"/>
    </row>
    <row r="950" spans="1:73" ht="15" thickBo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BT950" s="12"/>
      <c r="BU950" s="12"/>
    </row>
    <row r="951" spans="1:73" ht="15" thickBo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BT951" s="12"/>
      <c r="BU951" s="12"/>
    </row>
    <row r="952" spans="1:73" ht="15" thickBo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BT952" s="12"/>
      <c r="BU952" s="12"/>
    </row>
    <row r="953" spans="1:73" ht="15" thickBo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BT953" s="12"/>
      <c r="BU953" s="12"/>
    </row>
    <row r="954" spans="1:73" ht="15" thickBo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BT954" s="12"/>
      <c r="BU954" s="12"/>
    </row>
    <row r="955" spans="1:73" ht="15" thickBo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BT955" s="12"/>
      <c r="BU955" s="12"/>
    </row>
    <row r="956" spans="1:73" ht="15" thickBo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BT956" s="12"/>
      <c r="BU956" s="12"/>
    </row>
    <row r="957" spans="1:73" ht="15" thickBo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BT957" s="12"/>
      <c r="BU957" s="12"/>
    </row>
    <row r="958" spans="1:73" ht="15" thickBo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BT958" s="12"/>
      <c r="BU958" s="12"/>
    </row>
    <row r="959" spans="1:73" ht="15" thickBo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BT959" s="12"/>
      <c r="BU959" s="12"/>
    </row>
    <row r="960" spans="1:73" ht="15" thickBo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BT960" s="12"/>
      <c r="BU960" s="12"/>
    </row>
    <row r="961" spans="1:73" ht="15" thickBo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BT961" s="12"/>
      <c r="BU961" s="12"/>
    </row>
    <row r="962" spans="1:73" ht="15" thickBo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</row>
    <row r="963" spans="1:73" ht="15" thickBo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</row>
    <row r="964" spans="1:73" ht="15" thickBo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</row>
    <row r="965" spans="1:73" ht="15" thickBo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</row>
    <row r="966" spans="1:73" ht="15" thickBo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</row>
    <row r="967" spans="1:73" ht="15" thickBo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80C9A-7CCF-4684-B852-B1267A64E3A8}">
  <dimension ref="A1:DA968"/>
  <sheetViews>
    <sheetView zoomScale="70" zoomScaleNormal="70" workbookViewId="0">
      <pane xSplit="2" ySplit="6" topLeftCell="AY7" activePane="bottomRight" state="frozen"/>
      <selection pane="topRight" activeCell="B1" sqref="B1"/>
      <selection pane="bottomLeft" activeCell="A5" sqref="A5"/>
      <selection pane="bottomRight" activeCell="BW2" sqref="BW2"/>
    </sheetView>
  </sheetViews>
  <sheetFormatPr baseColWidth="10" defaultRowHeight="14.25"/>
  <cols>
    <col min="1" max="1" width="12.375" bestFit="1" customWidth="1"/>
    <col min="48" max="48" width="12.25" bestFit="1" customWidth="1"/>
    <col min="63" max="63" width="12.25" bestFit="1" customWidth="1"/>
  </cols>
  <sheetData>
    <row r="1" spans="1:74" ht="15" thickBot="1">
      <c r="B1" s="12" t="str">
        <f>+Precios!A1</f>
        <v>BUY</v>
      </c>
      <c r="C1" s="13">
        <f>+Precios!B1</f>
        <v>45985</v>
      </c>
      <c r="D1" s="13">
        <f>+Precios!C1</f>
        <v>45993</v>
      </c>
      <c r="E1" s="13">
        <f>+Precios!D1</f>
        <v>46001</v>
      </c>
      <c r="F1" s="13">
        <f>+Precios!E1</f>
        <v>46003</v>
      </c>
      <c r="G1" s="13">
        <f>+Precios!F1</f>
        <v>46002</v>
      </c>
      <c r="H1" s="13">
        <f>+Precios!G1</f>
        <v>46000</v>
      </c>
      <c r="I1" s="13">
        <f>+Precios!H1</f>
        <v>45981</v>
      </c>
      <c r="J1" s="13">
        <f>+Precios!I1</f>
        <v>45979</v>
      </c>
      <c r="K1" s="13">
        <f>+Precios!J1</f>
        <v>45982</v>
      </c>
      <c r="L1" s="13">
        <f>+Precios!K1</f>
        <v>45981</v>
      </c>
      <c r="M1" s="13">
        <f>+Precios!L1</f>
        <v>45980</v>
      </c>
      <c r="N1" s="13">
        <f>+Precios!M1</f>
        <v>45985</v>
      </c>
      <c r="O1" s="13">
        <f>+Precios!N1</f>
        <v>45979</v>
      </c>
      <c r="P1" s="13">
        <f>+Precios!O1</f>
        <v>46006</v>
      </c>
      <c r="Q1" s="13">
        <f>+Precios!P1</f>
        <v>46009</v>
      </c>
      <c r="R1" s="13">
        <f>+Precios!Q1</f>
        <v>45981</v>
      </c>
      <c r="S1" s="13">
        <f>+Precios!R1</f>
        <v>45980</v>
      </c>
      <c r="T1" s="13">
        <f>+Precios!S1</f>
        <v>46008</v>
      </c>
      <c r="U1" s="13">
        <f>+Precios!T1</f>
        <v>46036</v>
      </c>
      <c r="V1" s="13">
        <f>+Precios!U1</f>
        <v>46002</v>
      </c>
      <c r="W1" s="13">
        <f>+Precios!V1</f>
        <v>46034</v>
      </c>
      <c r="X1" s="13">
        <f>+Precios!W1</f>
        <v>46036</v>
      </c>
      <c r="Y1" s="13">
        <f>+Precios!X1</f>
        <v>46045</v>
      </c>
      <c r="Z1" s="13">
        <f>+Precios!Y1</f>
        <v>46042</v>
      </c>
      <c r="AA1" s="13">
        <f>+Precios!Z1</f>
        <v>46031</v>
      </c>
      <c r="AB1" s="13">
        <f>+Precios!AA1</f>
        <v>45979</v>
      </c>
      <c r="AC1" s="13">
        <f>+Precios!AB1</f>
        <v>45981</v>
      </c>
      <c r="AD1" s="13">
        <f>+Precios!AC1</f>
        <v>45981</v>
      </c>
      <c r="AE1" s="13">
        <f>+Precios!AD1</f>
        <v>46001</v>
      </c>
      <c r="AF1" s="13">
        <f>+Precios!AE1</f>
        <v>46002</v>
      </c>
      <c r="AG1" s="13">
        <f>+Precios!AF1</f>
        <v>46002</v>
      </c>
      <c r="AH1" s="13">
        <f>+Precios!AG1</f>
        <v>46030</v>
      </c>
      <c r="AI1" s="13">
        <f>+Precios!AH1</f>
        <v>46036</v>
      </c>
      <c r="AJ1" s="13">
        <f>+Precios!AI1</f>
        <v>46031</v>
      </c>
      <c r="AK1" s="13">
        <f>+Precios!AJ1</f>
        <v>46042</v>
      </c>
      <c r="AL1" s="13">
        <f>+Precios!AK1</f>
        <v>46043</v>
      </c>
      <c r="AM1" s="13">
        <f>+Precios!AL1</f>
        <v>46043</v>
      </c>
      <c r="AN1" s="13">
        <f>+Precios!AM1</f>
        <v>46050</v>
      </c>
      <c r="AO1" s="13">
        <f>+Precios!AN1</f>
        <v>46056</v>
      </c>
      <c r="AP1" s="13">
        <f>+Precios!AO1</f>
        <v>46058</v>
      </c>
      <c r="AQ1" s="13">
        <f>+Precios!AP1</f>
        <v>46059</v>
      </c>
      <c r="AR1" s="13">
        <f>+Precios!AQ1</f>
        <v>46059</v>
      </c>
      <c r="AS1" s="13">
        <f>+Precios!AR1</f>
        <v>46063</v>
      </c>
      <c r="AT1" s="13">
        <f>+Precios!AS1</f>
        <v>46064</v>
      </c>
      <c r="AU1" s="13">
        <f>+Precios!AT1</f>
        <v>46065</v>
      </c>
      <c r="AV1" s="13">
        <v>46070</v>
      </c>
      <c r="AW1" s="13">
        <f>+Precios!AV1</f>
        <v>46071</v>
      </c>
      <c r="AX1" s="13">
        <f>+Precios!AW1</f>
        <v>46071</v>
      </c>
      <c r="AY1" s="13">
        <f>+Precios!AX1</f>
        <v>46071</v>
      </c>
      <c r="AZ1" s="13">
        <f>+Precios!AY1</f>
        <v>46072</v>
      </c>
      <c r="BA1" s="13">
        <f>+Precios!AZ1</f>
        <v>46072</v>
      </c>
      <c r="BB1" s="13">
        <f>+Precios!BA1</f>
        <v>46073</v>
      </c>
      <c r="BC1" s="13">
        <f>+Precios!BB1</f>
        <v>46079</v>
      </c>
      <c r="BD1" s="13">
        <f>+Precios!BC1</f>
        <v>46084</v>
      </c>
      <c r="BE1" s="13">
        <f>+Precios!BD1</f>
        <v>46086</v>
      </c>
      <c r="BF1" s="13">
        <f>+Precios!BE1</f>
        <v>46090</v>
      </c>
      <c r="BG1" s="13">
        <f>+Precios!BF1</f>
        <v>46090</v>
      </c>
      <c r="BH1" s="13">
        <f>+Precios!BG1</f>
        <v>46093</v>
      </c>
      <c r="BI1" s="13">
        <f>+Precios!BH1</f>
        <v>46097</v>
      </c>
      <c r="BJ1" s="13">
        <f>+Precios!BI1</f>
        <v>46100</v>
      </c>
      <c r="BK1" s="13">
        <f>+Precios!BJ1</f>
        <v>46112</v>
      </c>
      <c r="BL1" s="13">
        <f>+Precios!BK1</f>
        <v>46112</v>
      </c>
      <c r="BM1" s="13">
        <f>+Precios!BL1</f>
        <v>46112</v>
      </c>
      <c r="BN1" s="13">
        <f>+Precios!BM1</f>
        <v>46113</v>
      </c>
      <c r="BO1" s="13">
        <f>+Precios!BN1</f>
        <v>46113</v>
      </c>
      <c r="BP1" s="13">
        <f>+Precios!BO1</f>
        <v>46118</v>
      </c>
      <c r="BQ1" s="13">
        <f>+Precios!BP1</f>
        <v>46118</v>
      </c>
      <c r="BR1" s="13">
        <f>+Precios!BQ1</f>
        <v>46118</v>
      </c>
      <c r="BS1" s="13">
        <f>+Precios!BR1</f>
        <v>46121</v>
      </c>
      <c r="BT1" s="13">
        <f>+Precios!BS1</f>
        <v>46122</v>
      </c>
      <c r="BU1" s="13">
        <f>+Precios!BT1</f>
        <v>46125</v>
      </c>
      <c r="BV1" s="13">
        <f>+Precios!BU1</f>
        <v>46127</v>
      </c>
    </row>
    <row r="2" spans="1:74" ht="15" thickBot="1">
      <c r="B2" s="12" t="str">
        <f>+Precios!A2</f>
        <v>SELL</v>
      </c>
      <c r="C2" s="18">
        <f>+Precios!B2</f>
        <v>45995</v>
      </c>
      <c r="D2" s="18">
        <f>+Precios!C2</f>
        <v>45995</v>
      </c>
      <c r="E2" s="18">
        <f>+Precios!D2</f>
        <v>46003</v>
      </c>
      <c r="F2" s="18">
        <f>+Precios!E2</f>
        <v>46003</v>
      </c>
      <c r="G2" s="18">
        <f>+Precios!F2</f>
        <v>46003</v>
      </c>
      <c r="H2" s="18">
        <f>+Precios!G2</f>
        <v>46003</v>
      </c>
      <c r="I2" s="18">
        <f>+Precios!H2</f>
        <v>46006</v>
      </c>
      <c r="J2" s="18">
        <f>+Precios!I2</f>
        <v>46006</v>
      </c>
      <c r="K2" s="18">
        <f>+Precios!J2</f>
        <v>46007</v>
      </c>
      <c r="L2" s="18">
        <f>+Precios!K2</f>
        <v>46007</v>
      </c>
      <c r="M2" s="18">
        <f>+Precios!L2</f>
        <v>46007</v>
      </c>
      <c r="N2" s="18">
        <f>+Precios!M2</f>
        <v>46008</v>
      </c>
      <c r="O2" s="18">
        <f>+Precios!N2</f>
        <v>46008</v>
      </c>
      <c r="P2" s="18">
        <f>+Precios!O2</f>
        <v>46024</v>
      </c>
      <c r="Q2" s="18">
        <f>+Precios!P2</f>
        <v>46029</v>
      </c>
      <c r="R2" s="18">
        <f>+Precios!Q2</f>
        <v>46031</v>
      </c>
      <c r="S2" s="18">
        <f>+Precios!R2</f>
        <v>46031</v>
      </c>
      <c r="T2" s="18">
        <f>+Precios!S2</f>
        <v>46035</v>
      </c>
      <c r="U2" s="18">
        <f>+Precios!T2</f>
        <v>46042</v>
      </c>
      <c r="V2" s="18">
        <f>+Precios!U2</f>
        <v>46043</v>
      </c>
      <c r="W2" s="18">
        <f>+Precios!V2</f>
        <v>46049</v>
      </c>
      <c r="X2" s="13">
        <f>+Precios!W2</f>
        <v>46050</v>
      </c>
      <c r="Y2" s="13">
        <f>+Precios!X2</f>
        <v>46050</v>
      </c>
      <c r="Z2" s="13">
        <f>+Precios!Y2</f>
        <v>46052</v>
      </c>
      <c r="AA2" s="13">
        <f>+Precios!Z2</f>
        <v>46052</v>
      </c>
      <c r="AB2" s="13">
        <f>+Precios!AA2</f>
        <v>46057</v>
      </c>
      <c r="AC2" s="13">
        <f>+Precios!AB2</f>
        <v>46057</v>
      </c>
      <c r="AD2" s="13">
        <f>+Precios!AC2</f>
        <v>46057</v>
      </c>
      <c r="AE2" s="13">
        <f>+Precios!AD2</f>
        <v>46057</v>
      </c>
      <c r="AF2" s="13">
        <f>+Precios!AE2</f>
        <v>46057</v>
      </c>
      <c r="AG2" s="13">
        <f>+Precios!AF2</f>
        <v>46057</v>
      </c>
      <c r="AH2" s="13">
        <f>+Precios!AG2</f>
        <v>46057</v>
      </c>
      <c r="AI2" s="13">
        <f>+Precios!AH2</f>
        <v>46057</v>
      </c>
      <c r="AJ2" s="13">
        <f>+Precios!AI2</f>
        <v>46057</v>
      </c>
      <c r="AK2" s="13">
        <f>+Precios!AJ2</f>
        <v>46057</v>
      </c>
      <c r="AL2" s="13">
        <f>+Precios!AK2</f>
        <v>46057</v>
      </c>
      <c r="AM2" s="13">
        <f>+Precios!AL2</f>
        <v>46058</v>
      </c>
      <c r="AN2" s="13">
        <f>+Precios!AM2</f>
        <v>46057</v>
      </c>
      <c r="AO2" s="13">
        <f>+Precios!AN2</f>
        <v>46080</v>
      </c>
      <c r="AP2" s="13">
        <f>+Precios!AO2</f>
        <v>46058</v>
      </c>
      <c r="AQ2" s="13">
        <f>+Precios!AP2</f>
        <v>46070</v>
      </c>
      <c r="AR2" s="13">
        <f>+Precios!AQ2</f>
        <v>46064</v>
      </c>
      <c r="AS2" s="13">
        <f>+Precios!AR2</f>
        <v>46064</v>
      </c>
      <c r="AT2" s="13">
        <f>+Precios!AS2</f>
        <v>46070</v>
      </c>
      <c r="AU2" s="13">
        <f>+Precios!AT2</f>
        <v>46084</v>
      </c>
      <c r="AV2" s="71"/>
      <c r="AW2" s="13">
        <f>+Precios!AV2</f>
        <v>46084</v>
      </c>
      <c r="AX2" s="13">
        <f>+Precios!AW2</f>
        <v>46078</v>
      </c>
      <c r="AY2" s="13">
        <f>+Precios!AX2</f>
        <v>46084</v>
      </c>
      <c r="AZ2" s="13">
        <f>+Precios!AY2</f>
        <v>46084</v>
      </c>
      <c r="BA2" s="13">
        <f>+Precios!AZ2</f>
        <v>46084</v>
      </c>
      <c r="BB2" s="13">
        <f>+Precios!BA2</f>
        <v>46084</v>
      </c>
      <c r="BC2" s="13">
        <f>+Precios!BB2</f>
        <v>46121</v>
      </c>
      <c r="BD2" s="13">
        <f>+Precios!BC2</f>
        <v>46100</v>
      </c>
      <c r="BE2" s="71">
        <f>+Precios!BD2</f>
        <v>0</v>
      </c>
      <c r="BF2" s="13">
        <f>+Precios!BE2</f>
        <v>46114</v>
      </c>
      <c r="BG2" s="71">
        <f>+Precios!BF2</f>
        <v>0</v>
      </c>
      <c r="BH2" s="13">
        <f>+Precios!BG2</f>
        <v>46100</v>
      </c>
      <c r="BI2" s="13">
        <f>+Precios!BH2</f>
        <v>46100</v>
      </c>
      <c r="BJ2" s="13">
        <f>+Precios!BI2</f>
        <v>46105</v>
      </c>
      <c r="BK2" s="71">
        <f>+Precios!BJ2</f>
        <v>0</v>
      </c>
      <c r="BL2" s="71">
        <f>+Precios!BK2</f>
        <v>0</v>
      </c>
      <c r="BM2" s="13">
        <f>+Precios!BL2</f>
        <v>46114</v>
      </c>
      <c r="BN2" s="71">
        <f>+Precios!BM2</f>
        <v>0</v>
      </c>
      <c r="BO2" s="71">
        <f>+Precios!BN2</f>
        <v>0</v>
      </c>
      <c r="BP2" s="13">
        <f>+Precios!BO2</f>
        <v>46119</v>
      </c>
      <c r="BQ2" s="71">
        <f>+Precios!BP2</f>
        <v>0</v>
      </c>
      <c r="BR2" s="71">
        <f>+Precios!BQ2</f>
        <v>0</v>
      </c>
      <c r="BS2" s="71">
        <f>+Precios!BR2</f>
        <v>0</v>
      </c>
      <c r="BT2" s="71">
        <f>+Precios!BS2</f>
        <v>0</v>
      </c>
      <c r="BU2" s="71">
        <f>+Precios!BT2</f>
        <v>0</v>
      </c>
      <c r="BV2" s="71">
        <f>+Precios!BU2</f>
        <v>0</v>
      </c>
    </row>
    <row r="3" spans="1:74" s="20" customFormat="1" ht="15" thickBot="1">
      <c r="B3" s="12" t="str">
        <f>+Precios!A3</f>
        <v>Shares</v>
      </c>
      <c r="C3" s="20">
        <f>+Precios!B3</f>
        <v>0</v>
      </c>
      <c r="D3" s="20">
        <f>+Precios!C3</f>
        <v>0</v>
      </c>
      <c r="E3" s="20">
        <f>+Precios!D3</f>
        <v>0</v>
      </c>
      <c r="F3" s="20">
        <f>+Precios!E3</f>
        <v>0</v>
      </c>
      <c r="G3" s="20">
        <f>+Precios!F3</f>
        <v>0</v>
      </c>
      <c r="H3" s="20">
        <f>+Precios!G3</f>
        <v>0</v>
      </c>
      <c r="I3" s="20">
        <f>+Precios!H3</f>
        <v>0</v>
      </c>
      <c r="J3" s="20">
        <f>+Precios!I3</f>
        <v>0</v>
      </c>
      <c r="K3" s="20">
        <f>+Precios!J3</f>
        <v>0</v>
      </c>
      <c r="L3" s="20">
        <f>+Precios!K3</f>
        <v>0</v>
      </c>
      <c r="M3" s="20">
        <f>+Precios!L3</f>
        <v>0</v>
      </c>
      <c r="N3" s="20">
        <f>+Precios!M3</f>
        <v>0</v>
      </c>
      <c r="O3" s="20">
        <f>+Precios!N3</f>
        <v>0</v>
      </c>
      <c r="P3" s="20">
        <f>+Precios!O3</f>
        <v>0</v>
      </c>
      <c r="Q3" s="20">
        <f>+Precios!P3</f>
        <v>0</v>
      </c>
      <c r="R3" s="20">
        <f>+Precios!Q3</f>
        <v>0</v>
      </c>
      <c r="S3" s="20">
        <f>+Precios!R3</f>
        <v>0</v>
      </c>
      <c r="T3" s="20">
        <f>+Precios!S3</f>
        <v>0</v>
      </c>
      <c r="U3" s="20">
        <f>+Precios!T3</f>
        <v>0</v>
      </c>
      <c r="V3" s="20">
        <f>+Precios!U3</f>
        <v>0</v>
      </c>
      <c r="W3" s="20">
        <f>+Precios!V3</f>
        <v>0</v>
      </c>
      <c r="X3" s="20">
        <f>+Precios!W3</f>
        <v>0</v>
      </c>
      <c r="Y3" s="20">
        <f>+Precios!X3</f>
        <v>0</v>
      </c>
      <c r="Z3" s="20">
        <f>+Precios!Y3</f>
        <v>0</v>
      </c>
      <c r="AA3" s="20">
        <f>+Precios!Z3</f>
        <v>0</v>
      </c>
      <c r="AB3" s="20">
        <f>+Precios!AA3</f>
        <v>0</v>
      </c>
      <c r="AC3" s="20">
        <f>+Precios!AB3</f>
        <v>0</v>
      </c>
      <c r="AD3" s="20">
        <f>+Precios!AC3</f>
        <v>0</v>
      </c>
      <c r="AE3" s="20">
        <f>+Precios!AD3</f>
        <v>0</v>
      </c>
      <c r="AF3" s="20">
        <f>+Precios!AE3</f>
        <v>0</v>
      </c>
      <c r="AG3" s="20">
        <f>+Precios!AF3</f>
        <v>0</v>
      </c>
      <c r="AH3" s="20">
        <f>+Precios!AG3</f>
        <v>0</v>
      </c>
      <c r="AI3" s="20">
        <f>+Precios!AH3</f>
        <v>0</v>
      </c>
      <c r="AJ3" s="20">
        <f>+Precios!AI3</f>
        <v>0</v>
      </c>
      <c r="AK3" s="20">
        <f>+Precios!AJ3</f>
        <v>0</v>
      </c>
      <c r="AL3" s="20">
        <f>+Precios!AK3</f>
        <v>0</v>
      </c>
      <c r="AM3" s="20">
        <f>+Precios!AL3</f>
        <v>0</v>
      </c>
      <c r="AN3" s="20">
        <f>+Precios!AM3</f>
        <v>0</v>
      </c>
      <c r="AO3" s="20">
        <f>+Precios!AN3</f>
        <v>0</v>
      </c>
      <c r="AP3" s="20">
        <f>+Precios!AO3</f>
        <v>0</v>
      </c>
      <c r="AQ3" s="20">
        <f>+Precios!AP3</f>
        <v>0</v>
      </c>
      <c r="AR3" s="20">
        <f>+Precios!AQ3</f>
        <v>0</v>
      </c>
      <c r="AS3" s="20">
        <f>+Precios!AR3</f>
        <v>0</v>
      </c>
      <c r="AT3" s="20">
        <f>+Precios!AS3</f>
        <v>0</v>
      </c>
      <c r="AU3" s="20">
        <f>+Precios!AT3</f>
        <v>0</v>
      </c>
      <c r="AV3" s="20">
        <v>4039</v>
      </c>
      <c r="AW3" s="20">
        <f>+Precios!AV3</f>
        <v>0</v>
      </c>
      <c r="AX3" s="20">
        <f>+Precios!AW3</f>
        <v>0</v>
      </c>
      <c r="AY3" s="20">
        <f>+Precios!AX3</f>
        <v>0</v>
      </c>
      <c r="AZ3" s="20">
        <f>+Precios!AY3</f>
        <v>0</v>
      </c>
      <c r="BA3" s="20">
        <f>+Precios!AZ3</f>
        <v>0</v>
      </c>
      <c r="BB3" s="20">
        <f>+Precios!BA3</f>
        <v>0</v>
      </c>
      <c r="BC3" s="20">
        <f>+Precios!BB3</f>
        <v>0</v>
      </c>
      <c r="BD3" s="20">
        <f>+Precios!BC3</f>
        <v>0</v>
      </c>
      <c r="BE3" s="20">
        <f>+Precios!BD3</f>
        <v>14286</v>
      </c>
      <c r="BF3" s="20">
        <f>+Precios!BE3</f>
        <v>0</v>
      </c>
      <c r="BG3" s="20">
        <f>+Precios!BF3</f>
        <v>1633</v>
      </c>
      <c r="BH3" s="20">
        <f>+Precios!BG3</f>
        <v>0</v>
      </c>
      <c r="BI3" s="20">
        <f>+Precios!BH3</f>
        <v>0</v>
      </c>
      <c r="BJ3" s="20">
        <f>+Precios!BI3</f>
        <v>0</v>
      </c>
      <c r="BK3" s="20">
        <f>+Precios!BJ3</f>
        <v>527</v>
      </c>
      <c r="BL3" s="20">
        <f>+Precios!BK3</f>
        <v>321</v>
      </c>
      <c r="BM3" s="20">
        <f>+Precios!BL3</f>
        <v>0</v>
      </c>
      <c r="BN3" s="20">
        <f>+Precios!BM3</f>
        <v>3693</v>
      </c>
      <c r="BO3" s="20">
        <f>+Precios!BN3</f>
        <v>2588</v>
      </c>
      <c r="BP3" s="20">
        <f>+Precios!BO3</f>
        <v>0</v>
      </c>
      <c r="BQ3" s="20">
        <f>+Precios!BP3</f>
        <v>3243</v>
      </c>
      <c r="BR3" s="20">
        <f>+Precios!BQ3</f>
        <v>5405</v>
      </c>
      <c r="BS3" s="20">
        <f>+Precios!BR3</f>
        <v>7942</v>
      </c>
      <c r="BT3" s="20">
        <f>+Precios!BS3</f>
        <v>328</v>
      </c>
      <c r="BU3" s="20">
        <f>+Precios!BT3</f>
        <v>586</v>
      </c>
      <c r="BV3" s="20">
        <f>+Precios!BU3</f>
        <v>1027</v>
      </c>
    </row>
    <row r="4" spans="1:74" s="39" customFormat="1" ht="15" thickBot="1">
      <c r="B4" s="12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V4" s="39">
        <v>2019</v>
      </c>
      <c r="BE4" s="39">
        <v>12143</v>
      </c>
      <c r="BK4" s="39">
        <f>527-175</f>
        <v>352</v>
      </c>
      <c r="BL4" s="39">
        <f>+BL3-48</f>
        <v>273</v>
      </c>
      <c r="BO4" s="39">
        <v>2200</v>
      </c>
      <c r="BQ4" s="39">
        <v>2757</v>
      </c>
      <c r="BR4" s="39">
        <v>3603</v>
      </c>
      <c r="BS4" s="39">
        <v>6734</v>
      </c>
    </row>
    <row r="5" spans="1:74" s="39" customFormat="1" ht="15" thickBot="1">
      <c r="B5" s="12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BK5" s="39">
        <v>289</v>
      </c>
      <c r="BL5" s="39">
        <f>+BL4-32</f>
        <v>241</v>
      </c>
      <c r="BS5" s="39">
        <f>+BS4-792</f>
        <v>5942</v>
      </c>
    </row>
    <row r="6" spans="1:74" s="46" customFormat="1" ht="15" thickBot="1">
      <c r="A6" s="46" t="s">
        <v>28</v>
      </c>
      <c r="B6" s="16">
        <f>+Precios!A4</f>
        <v>0</v>
      </c>
      <c r="C6" s="34">
        <f>+Precios!B4</f>
        <v>0</v>
      </c>
      <c r="D6" s="34">
        <f>+Precios!C4</f>
        <v>0</v>
      </c>
      <c r="E6" s="34">
        <f>+Precios!D4</f>
        <v>0</v>
      </c>
      <c r="F6" s="34">
        <f>+Precios!E4</f>
        <v>0</v>
      </c>
      <c r="G6" s="34">
        <f>+Precios!F4</f>
        <v>0</v>
      </c>
      <c r="H6" s="34">
        <f>+Precios!G4</f>
        <v>0</v>
      </c>
      <c r="I6" s="34">
        <f>+Precios!H4</f>
        <v>0</v>
      </c>
      <c r="J6" s="34">
        <f>+Precios!I4</f>
        <v>0</v>
      </c>
      <c r="K6" s="34">
        <f>+Precios!J4</f>
        <v>0</v>
      </c>
      <c r="L6" s="34">
        <f>+Precios!K4</f>
        <v>0</v>
      </c>
      <c r="M6" s="34">
        <f>+Precios!L4</f>
        <v>0</v>
      </c>
      <c r="N6" s="34">
        <f>+Precios!M4</f>
        <v>0</v>
      </c>
      <c r="O6" s="34">
        <f>+Precios!N4</f>
        <v>0</v>
      </c>
      <c r="P6" s="34">
        <f>+Precios!O4</f>
        <v>0</v>
      </c>
      <c r="Q6" s="34">
        <f>+Precios!P4</f>
        <v>0</v>
      </c>
      <c r="R6" s="34">
        <f>+Precios!Q4</f>
        <v>0</v>
      </c>
      <c r="S6" s="34">
        <f>+Precios!R4</f>
        <v>0</v>
      </c>
      <c r="T6" s="34">
        <f>+Precios!S4</f>
        <v>0</v>
      </c>
      <c r="U6" s="34">
        <f>+Precios!T4</f>
        <v>0</v>
      </c>
      <c r="V6" s="34">
        <f>+Precios!U4</f>
        <v>0</v>
      </c>
      <c r="W6" s="34">
        <f>+Precios!V4</f>
        <v>0</v>
      </c>
      <c r="X6" s="16">
        <f>+Precios!W4</f>
        <v>0</v>
      </c>
      <c r="Y6" s="16">
        <f>+Precios!X4</f>
        <v>0</v>
      </c>
      <c r="Z6" s="16">
        <f>+Precios!Y4</f>
        <v>0</v>
      </c>
      <c r="AA6" s="16">
        <f>+Precios!Z4</f>
        <v>0</v>
      </c>
      <c r="AB6" s="16">
        <f>+Precios!AA4</f>
        <v>0</v>
      </c>
      <c r="AC6" s="16">
        <f>+Precios!AB4</f>
        <v>0</v>
      </c>
      <c r="AD6" s="16">
        <f>+Precios!AC4</f>
        <v>0</v>
      </c>
      <c r="AE6" s="16">
        <f>+Precios!AD4</f>
        <v>0</v>
      </c>
      <c r="AF6" s="16">
        <f>+Precios!AE4</f>
        <v>0</v>
      </c>
      <c r="AG6" s="16">
        <f>+Precios!AF4</f>
        <v>0</v>
      </c>
      <c r="AH6" s="16">
        <f>+Precios!AG4</f>
        <v>0</v>
      </c>
      <c r="AI6" s="16">
        <f>+Precios!AH4</f>
        <v>0</v>
      </c>
      <c r="AJ6" s="16">
        <f>+Precios!AI4</f>
        <v>0</v>
      </c>
      <c r="AK6" s="16">
        <f>+Precios!AJ4</f>
        <v>0</v>
      </c>
      <c r="AL6" s="16">
        <f>+Precios!AK4</f>
        <v>0</v>
      </c>
      <c r="AM6" s="16">
        <f>+Precios!AL4</f>
        <v>0</v>
      </c>
      <c r="AN6" s="16">
        <f>+Precios!AM4</f>
        <v>0</v>
      </c>
      <c r="AO6" s="16">
        <f>+Precios!AN4</f>
        <v>0</v>
      </c>
      <c r="AP6" s="46">
        <f>+Precios!AO4</f>
        <v>0</v>
      </c>
      <c r="AQ6" s="46">
        <f>+Precios!AP4</f>
        <v>0</v>
      </c>
      <c r="AR6" s="46">
        <f>+Precios!AQ4</f>
        <v>0</v>
      </c>
      <c r="AS6" s="46">
        <f>+Precios!AR4</f>
        <v>0</v>
      </c>
      <c r="AT6" s="46">
        <f>+Precios!AS4</f>
        <v>0</v>
      </c>
      <c r="AU6" s="46">
        <f>+Precios!AT4</f>
        <v>0</v>
      </c>
      <c r="AV6" s="46" t="s">
        <v>20</v>
      </c>
      <c r="AW6" s="46">
        <f>+Precios!AV4</f>
        <v>0</v>
      </c>
      <c r="AX6" s="46">
        <f>+Precios!AW4</f>
        <v>0</v>
      </c>
      <c r="AY6" s="46">
        <f>+Precios!AX4</f>
        <v>0</v>
      </c>
      <c r="AZ6" s="46">
        <f>+Precios!AY4</f>
        <v>0</v>
      </c>
      <c r="BA6" s="46">
        <f>+Precios!AZ4</f>
        <v>0</v>
      </c>
      <c r="BB6" s="46">
        <f>+Precios!BA4</f>
        <v>0</v>
      </c>
      <c r="BC6" s="46">
        <f>+Precios!BB4</f>
        <v>0</v>
      </c>
      <c r="BD6" s="46">
        <f>+Precios!BC4</f>
        <v>0</v>
      </c>
      <c r="BE6" s="46" t="str">
        <f>+Precios!BD4</f>
        <v>ALTO</v>
      </c>
      <c r="BF6" s="46">
        <f>+Precios!BE4</f>
        <v>0</v>
      </c>
      <c r="BG6" s="46" t="str">
        <f>+Precios!BF4</f>
        <v>CAPR</v>
      </c>
      <c r="BH6" s="46">
        <f>+Precios!BG4</f>
        <v>0</v>
      </c>
      <c r="BI6" s="46">
        <f>+Precios!BH4</f>
        <v>0</v>
      </c>
      <c r="BJ6" s="46">
        <f>+Precios!BI4</f>
        <v>0</v>
      </c>
      <c r="BK6" s="46" t="str">
        <f>+Precios!BJ4</f>
        <v>MRVL</v>
      </c>
      <c r="BL6" s="46" t="str">
        <f>+Precios!BK4</f>
        <v>LABU</v>
      </c>
      <c r="BM6" s="46">
        <f>+Precios!BL4</f>
        <v>0</v>
      </c>
      <c r="BN6" s="46" t="str">
        <f>+Precios!BM4</f>
        <v>NTLA</v>
      </c>
      <c r="BO6" s="46" t="str">
        <f>+Precios!BN4</f>
        <v>LUNR</v>
      </c>
      <c r="BP6" s="46">
        <f>+Precios!BO4</f>
        <v>0</v>
      </c>
      <c r="BQ6" s="46" t="str">
        <f>+Precios!BP4</f>
        <v>WULF</v>
      </c>
      <c r="BR6" s="46" t="str">
        <f>+Precios!BQ4</f>
        <v>BCRX</v>
      </c>
      <c r="BS6" s="46" t="str">
        <f>+Precios!BR4</f>
        <v>POET</v>
      </c>
      <c r="BT6" s="46" t="str">
        <f>+Precios!BS4</f>
        <v>ARM</v>
      </c>
      <c r="BU6" s="46" t="str">
        <f>+Precios!BT4</f>
        <v>CAVA</v>
      </c>
      <c r="BV6" s="46" t="str">
        <f>+Precios!BU4</f>
        <v>YOU</v>
      </c>
    </row>
    <row r="7" spans="1:74" ht="15" thickBot="1">
      <c r="A7" s="5">
        <f t="shared" ref="A7:A38" si="0">+SUM(C7:XFD7)</f>
        <v>0</v>
      </c>
      <c r="B7" s="15">
        <f>+Precios!A5</f>
        <v>45979</v>
      </c>
      <c r="C7" s="12">
        <f>+Precios!B5*Precios!B$3</f>
        <v>0</v>
      </c>
      <c r="D7" s="12">
        <f>+Precios!C5*Precios!C$3</f>
        <v>0</v>
      </c>
      <c r="E7" s="12">
        <f>+Precios!D5*Precios!D$3</f>
        <v>0</v>
      </c>
      <c r="F7" s="12">
        <f>+Precios!E5*Precios!E$3</f>
        <v>0</v>
      </c>
      <c r="G7" s="12">
        <f>+Precios!F5*Precios!F$3</f>
        <v>0</v>
      </c>
      <c r="H7" s="12">
        <f>+Precios!G5*Precios!G$3</f>
        <v>0</v>
      </c>
      <c r="I7" s="12">
        <f>+Precios!H5*Precios!H$3</f>
        <v>0</v>
      </c>
      <c r="J7" s="12">
        <f>+Precios!I5*Precios!I$3</f>
        <v>0</v>
      </c>
      <c r="K7" s="12">
        <f>+Precios!J5*Precios!J$3</f>
        <v>0</v>
      </c>
      <c r="L7" s="12">
        <f>+Precios!K5*Precios!K$3</f>
        <v>0</v>
      </c>
      <c r="M7" s="12">
        <f>+Precios!L5*Precios!L$3</f>
        <v>0</v>
      </c>
      <c r="N7" s="12">
        <f>+Precios!M5*Precios!M$3</f>
        <v>0</v>
      </c>
      <c r="O7" s="12">
        <f>+Precios!N5*Precios!N$3</f>
        <v>0</v>
      </c>
      <c r="P7" s="12">
        <f>+Precios!O5*Precios!O$3</f>
        <v>0</v>
      </c>
      <c r="Q7" s="12">
        <f>+Precios!P5*Precios!P$3</f>
        <v>0</v>
      </c>
      <c r="R7" s="12">
        <f>+Precios!Q5*Precios!Q$3</f>
        <v>0</v>
      </c>
      <c r="S7" s="12">
        <f>+Precios!R5*Precios!R$3</f>
        <v>0</v>
      </c>
      <c r="T7" s="12">
        <f>+Precios!S5*Precios!S$3</f>
        <v>0</v>
      </c>
      <c r="U7" s="12">
        <f>+Precios!T5*Precios!T$3</f>
        <v>0</v>
      </c>
      <c r="V7" s="12">
        <f>+Precios!U5*Precios!U$3</f>
        <v>0</v>
      </c>
      <c r="W7" s="12">
        <f>+Precios!V5*Precios!V$3</f>
        <v>0</v>
      </c>
      <c r="X7" s="12">
        <f>+Precios!W5*Precios!W$3</f>
        <v>0</v>
      </c>
      <c r="Y7" s="12">
        <f>+Precios!X5*Precios!X$3</f>
        <v>0</v>
      </c>
      <c r="Z7" s="12">
        <f>+Precios!Y5*Precios!Y$3</f>
        <v>0</v>
      </c>
      <c r="AA7" s="12">
        <f>+Precios!Z5*Precios!Z$3</f>
        <v>0</v>
      </c>
      <c r="AB7" s="12">
        <f>+Precios!AA5*Precios!AA$3</f>
        <v>0</v>
      </c>
      <c r="AC7" s="12">
        <f>+Precios!AB5*Precios!AB$3</f>
        <v>0</v>
      </c>
      <c r="AD7" s="12">
        <f>+Precios!AC5*Precios!AC$3</f>
        <v>0</v>
      </c>
      <c r="AE7" s="12">
        <f>+Precios!AD5*Precios!AD$3</f>
        <v>0</v>
      </c>
      <c r="AF7" s="12">
        <f>+Precios!AE5*Precios!AE$3</f>
        <v>0</v>
      </c>
      <c r="AG7" s="12">
        <f>+Precios!AF5*Precios!AF$3</f>
        <v>0</v>
      </c>
      <c r="AH7" s="12">
        <f>+Precios!AG5*Precios!AG$3</f>
        <v>0</v>
      </c>
      <c r="AI7" s="12">
        <f>+Precios!AH5*Precios!AH$3</f>
        <v>0</v>
      </c>
      <c r="AJ7" s="12">
        <f>+Precios!AI5*Precios!AI$3</f>
        <v>0</v>
      </c>
      <c r="AK7" s="12">
        <f>+Precios!AJ5*Precios!AJ$3</f>
        <v>0</v>
      </c>
      <c r="AL7" s="12">
        <f>+Precios!AK5*Precios!AK$3</f>
        <v>0</v>
      </c>
      <c r="AM7" s="12">
        <f>+Precios!AL5*Precios!AL$3</f>
        <v>0</v>
      </c>
      <c r="AN7" s="12"/>
      <c r="AO7" s="12"/>
      <c r="AP7" s="12">
        <f>+Precios!AO5*Precios!AO$3</f>
        <v>0</v>
      </c>
      <c r="AQ7" s="12">
        <f>+Precios!AP5*Precios!AP$3</f>
        <v>0</v>
      </c>
      <c r="AR7" s="12">
        <f>+Precios!AQ5*Precios!AQ$3</f>
        <v>0</v>
      </c>
      <c r="AS7" s="12">
        <f>+Precios!AR5*Precios!AR$3</f>
        <v>0</v>
      </c>
      <c r="AT7" s="12">
        <f>+Precios!AS5*Precios!AS$3</f>
        <v>0</v>
      </c>
      <c r="AU7" s="12">
        <f>+Precios!AT5*Precios!AT$3</f>
        <v>0</v>
      </c>
      <c r="AV7" s="12"/>
      <c r="AW7" s="12">
        <f>+Precios!AV5*Precios!AV$3</f>
        <v>0</v>
      </c>
      <c r="AX7" s="12">
        <f>+Precios!AW5*Precios!AW$3</f>
        <v>0</v>
      </c>
      <c r="AY7" s="12">
        <f>+Precios!AX5*Precios!AX$3</f>
        <v>0</v>
      </c>
      <c r="AZ7" s="12">
        <f>+Precios!AY5*Precios!AY$3</f>
        <v>0</v>
      </c>
      <c r="BA7" s="12">
        <f>+Precios!AZ5*Precios!AZ$3</f>
        <v>0</v>
      </c>
      <c r="BB7" s="12">
        <f>+Precios!BA5*Precios!BA$3</f>
        <v>0</v>
      </c>
      <c r="BC7" s="12">
        <f>+Precios!BB5*Precios!BB$3</f>
        <v>0</v>
      </c>
      <c r="BD7" s="12">
        <f>+Precios!BC5*Precios!BC$3</f>
        <v>0</v>
      </c>
      <c r="BE7" s="12">
        <f>+Precios!BD5*Precios!BD$3</f>
        <v>0</v>
      </c>
      <c r="BF7" s="12">
        <f>+Precios!BE5*Precios!BE$3</f>
        <v>0</v>
      </c>
      <c r="BG7" s="12">
        <f>+Precios!BF5*Precios!BF$3</f>
        <v>0</v>
      </c>
      <c r="BH7" s="12">
        <f>+Precios!BG5*Precios!BG$3</f>
        <v>0</v>
      </c>
      <c r="BI7" s="12">
        <f>+Precios!BH5*Precios!BH$3</f>
        <v>0</v>
      </c>
      <c r="BJ7" s="12">
        <f>+Precios!BI5*Precios!BI$3</f>
        <v>0</v>
      </c>
      <c r="BK7" s="12">
        <f>+Precios!BJ5*Precios!BJ$3</f>
        <v>0</v>
      </c>
      <c r="BL7" s="12">
        <f>+Precios!BK5*Precios!BK$3</f>
        <v>0</v>
      </c>
      <c r="BM7" s="12">
        <f>+Precios!BL5*Precios!BL$3</f>
        <v>0</v>
      </c>
    </row>
    <row r="8" spans="1:74" ht="15" thickBot="1">
      <c r="A8" s="5">
        <f t="shared" si="0"/>
        <v>0</v>
      </c>
      <c r="B8" s="15">
        <f>+Precios!A6</f>
        <v>45980</v>
      </c>
      <c r="C8" s="12">
        <f>+Precios!B6*Precios!B$3</f>
        <v>0</v>
      </c>
      <c r="D8" s="12">
        <f>+Precios!C6*Precios!C$3</f>
        <v>0</v>
      </c>
      <c r="E8" s="12">
        <f>+Precios!D6*Precios!D$3</f>
        <v>0</v>
      </c>
      <c r="F8" s="12">
        <f>+Precios!E6*Precios!E$3</f>
        <v>0</v>
      </c>
      <c r="G8" s="12">
        <f>+Precios!F6*Precios!F$3</f>
        <v>0</v>
      </c>
      <c r="H8" s="12">
        <f>+Precios!G6*Precios!G$3</f>
        <v>0</v>
      </c>
      <c r="I8" s="12">
        <f>+Precios!H6*Precios!H$3</f>
        <v>0</v>
      </c>
      <c r="J8" s="12">
        <f t="shared" ref="I8:M15" si="1">+J7</f>
        <v>0</v>
      </c>
      <c r="K8" s="12">
        <f>+Precios!J6*Precios!J$3</f>
        <v>0</v>
      </c>
      <c r="L8" s="12">
        <f>+Precios!K6*Precios!K$3</f>
        <v>0</v>
      </c>
      <c r="M8" s="12">
        <f>+Precios!L6*Precios!L$3</f>
        <v>0</v>
      </c>
      <c r="N8" s="12">
        <f>+Precios!M6*Precios!M$3</f>
        <v>0</v>
      </c>
      <c r="O8" s="12">
        <f t="shared" ref="O8:P28" si="2">+O7</f>
        <v>0</v>
      </c>
      <c r="P8" s="12">
        <f>+Precios!O6*Precios!O$3</f>
        <v>0</v>
      </c>
      <c r="Q8" s="12">
        <f>+Precios!P6*Precios!P$3</f>
        <v>0</v>
      </c>
      <c r="R8" s="12">
        <f>+Precios!Q6*Precios!Q$3</f>
        <v>0</v>
      </c>
      <c r="S8" s="12">
        <f>+Precios!R6*Precios!R$3</f>
        <v>0</v>
      </c>
      <c r="T8" s="12">
        <f>+Precios!S6*Precios!S$3</f>
        <v>0</v>
      </c>
      <c r="U8" s="12">
        <f>+Precios!T6*Precios!T$3</f>
        <v>0</v>
      </c>
      <c r="V8" s="12">
        <f>+Precios!U6*Precios!U$3</f>
        <v>0</v>
      </c>
      <c r="W8" s="12">
        <f>+Precios!V6*Precios!V$3</f>
        <v>0</v>
      </c>
      <c r="X8" s="12">
        <f>+Precios!W6*Precios!W$3</f>
        <v>0</v>
      </c>
      <c r="Y8" s="12">
        <f>+Precios!X6*Precios!X$3</f>
        <v>0</v>
      </c>
      <c r="Z8" s="12">
        <f>+Precios!Y6*Precios!Y$3</f>
        <v>0</v>
      </c>
      <c r="AA8" s="12">
        <f>+Precios!Z6*Precios!Z$3</f>
        <v>0</v>
      </c>
      <c r="AB8" s="12">
        <f t="shared" ref="AB8:AF25" si="3">+AB7</f>
        <v>0</v>
      </c>
      <c r="AC8" s="12">
        <f>+Precios!AB6*Precios!AB$3</f>
        <v>0</v>
      </c>
      <c r="AD8" s="12">
        <f>+Precios!AC6*Precios!AC$3</f>
        <v>0</v>
      </c>
      <c r="AE8" s="12">
        <f>+Precios!AD6*Precios!AD$3</f>
        <v>0</v>
      </c>
      <c r="AF8" s="12">
        <f>+Precios!AE6*Precios!AE$3</f>
        <v>0</v>
      </c>
      <c r="AG8" s="12">
        <f>+Precios!AF6*Precios!AF$3</f>
        <v>0</v>
      </c>
      <c r="AH8" s="12">
        <f>+Precios!AG6*Precios!AG$3</f>
        <v>0</v>
      </c>
      <c r="AI8" s="12">
        <f>+Precios!AH6*Precios!AH$3</f>
        <v>0</v>
      </c>
      <c r="AJ8" s="12">
        <f>+Precios!AI6*Precios!AI$3</f>
        <v>0</v>
      </c>
      <c r="AK8" s="12">
        <f>+Precios!AJ6*Precios!AJ$3</f>
        <v>0</v>
      </c>
      <c r="AL8" s="12">
        <f>+Precios!AK6*Precios!AK$3</f>
        <v>0</v>
      </c>
      <c r="AM8" s="12">
        <f>+Precios!AL6*Precios!AL$3</f>
        <v>0</v>
      </c>
      <c r="AN8" s="12"/>
      <c r="AO8" s="12"/>
      <c r="AP8" s="12">
        <f>+Precios!AO6*Precios!AO$3</f>
        <v>0</v>
      </c>
      <c r="AQ8" s="12">
        <f>+Precios!AP6*Precios!AP$3</f>
        <v>0</v>
      </c>
      <c r="AR8" s="12">
        <f>+Precios!AQ6*Precios!AQ$3</f>
        <v>0</v>
      </c>
      <c r="AS8" s="12">
        <f>+Precios!AR6*Precios!AR$3</f>
        <v>0</v>
      </c>
      <c r="AT8" s="12">
        <f>+Precios!AS6*Precios!AS$3</f>
        <v>0</v>
      </c>
      <c r="AU8" s="12">
        <f>+Precios!AT6*Precios!AT$3</f>
        <v>0</v>
      </c>
      <c r="AV8" s="12"/>
      <c r="AW8" s="12">
        <f>+Precios!AV6*Precios!AV$3</f>
        <v>0</v>
      </c>
      <c r="AX8" s="12">
        <f>+Precios!AW6*Precios!AW$3</f>
        <v>0</v>
      </c>
      <c r="AY8" s="12">
        <f>+Precios!AX6*Precios!AX$3</f>
        <v>0</v>
      </c>
      <c r="AZ8" s="12">
        <f>+Precios!AY6*Precios!AY$3</f>
        <v>0</v>
      </c>
      <c r="BA8" s="12">
        <f>+Precios!AZ6*Precios!AZ$3</f>
        <v>0</v>
      </c>
      <c r="BB8" s="12">
        <f>+Precios!BA6*Precios!BA$3</f>
        <v>0</v>
      </c>
      <c r="BC8" s="12">
        <f>+Precios!BB6*Precios!BB$3</f>
        <v>0</v>
      </c>
      <c r="BD8" s="12">
        <f>+Precios!BC6*Precios!BC$3</f>
        <v>0</v>
      </c>
      <c r="BE8" s="12">
        <f>+Precios!BD6*Precios!BD$3</f>
        <v>0</v>
      </c>
      <c r="BF8" s="12">
        <f>+Precios!BE6*Precios!BE$3</f>
        <v>0</v>
      </c>
      <c r="BG8" s="12">
        <f>+Precios!BF6*Precios!BF$3</f>
        <v>0</v>
      </c>
      <c r="BH8" s="12">
        <f>+Precios!BG6*Precios!BG$3</f>
        <v>0</v>
      </c>
      <c r="BI8" s="12">
        <f>+Precios!BH6*Precios!BH$3</f>
        <v>0</v>
      </c>
      <c r="BJ8" s="12">
        <f>+Precios!BI6*Precios!BI$3</f>
        <v>0</v>
      </c>
      <c r="BK8" s="12">
        <f>+Precios!BJ6*Precios!BJ$3</f>
        <v>0</v>
      </c>
      <c r="BL8" s="12">
        <f>+Precios!BK6*Precios!BK$3</f>
        <v>0</v>
      </c>
      <c r="BM8" s="12">
        <f>+Precios!BL6*Precios!BL$3</f>
        <v>0</v>
      </c>
    </row>
    <row r="9" spans="1:74" ht="15" thickBot="1">
      <c r="A9" s="5">
        <f t="shared" si="0"/>
        <v>0</v>
      </c>
      <c r="B9" s="15">
        <f>+Precios!A7</f>
        <v>45981</v>
      </c>
      <c r="C9" s="12">
        <f>+Precios!B7*Precios!B$3</f>
        <v>0</v>
      </c>
      <c r="D9" s="12">
        <f>+Precios!C7*Precios!C$3</f>
        <v>0</v>
      </c>
      <c r="E9" s="12">
        <f>+Precios!D7*Precios!D$3</f>
        <v>0</v>
      </c>
      <c r="F9" s="12">
        <f>+Precios!E7*Precios!E$3</f>
        <v>0</v>
      </c>
      <c r="G9" s="12">
        <f>+Precios!F7*Precios!F$3</f>
        <v>0</v>
      </c>
      <c r="H9" s="12">
        <f>+Precios!G7*Precios!G$3</f>
        <v>0</v>
      </c>
      <c r="I9" s="12">
        <f>+Precios!H7*Precios!H$3</f>
        <v>0</v>
      </c>
      <c r="J9" s="12">
        <f t="shared" si="1"/>
        <v>0</v>
      </c>
      <c r="K9" s="12">
        <f>+Precios!J7*Precios!J$3</f>
        <v>0</v>
      </c>
      <c r="L9" s="12">
        <f>+Precios!K7*Precios!K$3</f>
        <v>0</v>
      </c>
      <c r="M9" s="12">
        <f t="shared" ref="L9:O15" si="4">+M8</f>
        <v>0</v>
      </c>
      <c r="N9" s="12">
        <f>+Precios!M7*Precios!M$3</f>
        <v>0</v>
      </c>
      <c r="O9" s="12">
        <f t="shared" si="2"/>
        <v>0</v>
      </c>
      <c r="P9" s="12">
        <f>+Precios!O7*Precios!O$3</f>
        <v>0</v>
      </c>
      <c r="Q9" s="12">
        <f>+Precios!P7*Precios!P$3</f>
        <v>0</v>
      </c>
      <c r="R9" s="12">
        <f>+Precios!Q7*Precios!Q$3</f>
        <v>0</v>
      </c>
      <c r="S9" s="12">
        <f t="shared" ref="R9:T30" si="5">+S8</f>
        <v>0</v>
      </c>
      <c r="T9" s="12">
        <f>+Precios!S7*Precios!S$3</f>
        <v>0</v>
      </c>
      <c r="U9" s="12">
        <f>+Precios!T7*Precios!T$3</f>
        <v>0</v>
      </c>
      <c r="V9" s="12">
        <f>+Precios!U7*Precios!U$3</f>
        <v>0</v>
      </c>
      <c r="W9" s="12">
        <f>+Precios!V7*Precios!V$3</f>
        <v>0</v>
      </c>
      <c r="X9" s="12">
        <f>+Precios!W7*Precios!W$3</f>
        <v>0</v>
      </c>
      <c r="Y9" s="12">
        <f>+Precios!X7*Precios!X$3</f>
        <v>0</v>
      </c>
      <c r="Z9" s="12">
        <f>+Precios!Y7*Precios!Y$3</f>
        <v>0</v>
      </c>
      <c r="AA9" s="12">
        <f>+Precios!Z7*Precios!Z$3</f>
        <v>0</v>
      </c>
      <c r="AB9" s="12">
        <f t="shared" si="3"/>
        <v>0</v>
      </c>
      <c r="AC9" s="12">
        <f>+Precios!AB7*Precios!AB$3</f>
        <v>0</v>
      </c>
      <c r="AD9" s="12">
        <f>+Precios!AC7*Precios!AC$3</f>
        <v>0</v>
      </c>
      <c r="AE9" s="12">
        <f>+Precios!AD7*Precios!AD$3</f>
        <v>0</v>
      </c>
      <c r="AF9" s="12">
        <f>+Precios!AE7*Precios!AE$3</f>
        <v>0</v>
      </c>
      <c r="AG9" s="12">
        <f>+Precios!AF7*Precios!AF$3</f>
        <v>0</v>
      </c>
      <c r="AH9" s="12">
        <f>+Precios!AG7*Precios!AG$3</f>
        <v>0</v>
      </c>
      <c r="AI9" s="12">
        <f>+Precios!AH7*Precios!AH$3</f>
        <v>0</v>
      </c>
      <c r="AJ9" s="12">
        <f>+Precios!AI7*Precios!AI$3</f>
        <v>0</v>
      </c>
      <c r="AK9" s="12">
        <f>+Precios!AJ7*Precios!AJ$3</f>
        <v>0</v>
      </c>
      <c r="AL9" s="12">
        <f>+Precios!AK7*Precios!AK$3</f>
        <v>0</v>
      </c>
      <c r="AM9" s="12">
        <f>+Precios!AL7*Precios!AL$3</f>
        <v>0</v>
      </c>
      <c r="AN9" s="12"/>
      <c r="AO9" s="12"/>
      <c r="AP9" s="12">
        <f>+Precios!AO7*Precios!AO$3</f>
        <v>0</v>
      </c>
      <c r="AQ9" s="12">
        <f>+Precios!AP7*Precios!AP$3</f>
        <v>0</v>
      </c>
      <c r="AR9" s="12">
        <f>+Precios!AQ7*Precios!AQ$3</f>
        <v>0</v>
      </c>
      <c r="AS9" s="12">
        <f>+Precios!AR7*Precios!AR$3</f>
        <v>0</v>
      </c>
      <c r="AT9" s="12">
        <f>+Precios!AS7*Precios!AS$3</f>
        <v>0</v>
      </c>
      <c r="AU9" s="12">
        <f>+Precios!AT7*Precios!AT$3</f>
        <v>0</v>
      </c>
      <c r="AV9" s="12"/>
      <c r="AW9" s="12">
        <f>+Precios!AV7*Precios!AV$3</f>
        <v>0</v>
      </c>
      <c r="AX9" s="12">
        <f>+Precios!AW7*Precios!AW$3</f>
        <v>0</v>
      </c>
      <c r="AY9" s="12">
        <f>+Precios!AX7*Precios!AX$3</f>
        <v>0</v>
      </c>
      <c r="AZ9" s="12">
        <f>+Precios!AY7*Precios!AY$3</f>
        <v>0</v>
      </c>
      <c r="BA9" s="12">
        <f>+Precios!AZ7*Precios!AZ$3</f>
        <v>0</v>
      </c>
      <c r="BB9" s="12">
        <f>+Precios!BA7*Precios!BA$3</f>
        <v>0</v>
      </c>
      <c r="BC9" s="12">
        <f>+Precios!BB7*Precios!BB$3</f>
        <v>0</v>
      </c>
      <c r="BD9" s="12">
        <f>+Precios!BC7*Precios!BC$3</f>
        <v>0</v>
      </c>
      <c r="BE9" s="12">
        <f>+Precios!BD7*Precios!BD$3</f>
        <v>0</v>
      </c>
      <c r="BF9" s="12">
        <f>+Precios!BE7*Precios!BE$3</f>
        <v>0</v>
      </c>
      <c r="BG9" s="12">
        <f>+Precios!BF7*Precios!BF$3</f>
        <v>0</v>
      </c>
      <c r="BH9" s="12">
        <f>+Precios!BG7*Precios!BG$3</f>
        <v>0</v>
      </c>
      <c r="BI9" s="12">
        <f>+Precios!BH7*Precios!BH$3</f>
        <v>0</v>
      </c>
      <c r="BJ9" s="12">
        <f>+Precios!BI7*Precios!BI$3</f>
        <v>0</v>
      </c>
      <c r="BK9" s="12">
        <f>+Precios!BJ7*Precios!BJ$3</f>
        <v>0</v>
      </c>
      <c r="BL9" s="12">
        <f>+Precios!BK7*Precios!BK$3</f>
        <v>0</v>
      </c>
      <c r="BM9" s="12">
        <f>+Precios!BL7*Precios!BL$3</f>
        <v>0</v>
      </c>
    </row>
    <row r="10" spans="1:74" ht="15" thickBot="1">
      <c r="A10" s="5">
        <f t="shared" si="0"/>
        <v>0</v>
      </c>
      <c r="B10" s="15">
        <f>+Precios!A8</f>
        <v>45982</v>
      </c>
      <c r="C10" s="12">
        <f>+Precios!B8*Precios!B$3</f>
        <v>0</v>
      </c>
      <c r="D10" s="12">
        <f>+Precios!C8*Precios!C$3</f>
        <v>0</v>
      </c>
      <c r="E10" s="12">
        <f>+Precios!D8*Precios!D$3</f>
        <v>0</v>
      </c>
      <c r="F10" s="12">
        <f>+Precios!E8*Precios!E$3</f>
        <v>0</v>
      </c>
      <c r="G10" s="12">
        <f>+Precios!F8*Precios!F$3</f>
        <v>0</v>
      </c>
      <c r="H10" s="12">
        <f>+Precios!G8*Precios!G$3</f>
        <v>0</v>
      </c>
      <c r="I10" s="12">
        <f t="shared" si="1"/>
        <v>0</v>
      </c>
      <c r="J10" s="12">
        <f t="shared" si="1"/>
        <v>0</v>
      </c>
      <c r="K10" s="12">
        <f>+Precios!J8*Precios!J$3</f>
        <v>0</v>
      </c>
      <c r="L10" s="12">
        <f t="shared" si="4"/>
        <v>0</v>
      </c>
      <c r="M10" s="12">
        <f t="shared" si="4"/>
        <v>0</v>
      </c>
      <c r="N10" s="12">
        <f>+Precios!M8*Precios!M$3</f>
        <v>0</v>
      </c>
      <c r="O10" s="12">
        <f t="shared" si="2"/>
        <v>0</v>
      </c>
      <c r="P10" s="12">
        <f>+Precios!O8*Precios!O$3</f>
        <v>0</v>
      </c>
      <c r="Q10" s="12">
        <f>+Precios!P8*Precios!P$3</f>
        <v>0</v>
      </c>
      <c r="R10" s="12">
        <f t="shared" si="5"/>
        <v>0</v>
      </c>
      <c r="S10" s="12">
        <f t="shared" si="5"/>
        <v>0</v>
      </c>
      <c r="T10" s="12">
        <f>+Precios!S8*Precios!S$3</f>
        <v>0</v>
      </c>
      <c r="U10" s="12">
        <f>+Precios!T8*Precios!T$3</f>
        <v>0</v>
      </c>
      <c r="V10" s="12">
        <f>+Precios!U8*Precios!U$3</f>
        <v>0</v>
      </c>
      <c r="W10" s="12">
        <f>+Precios!V8*Precios!V$3</f>
        <v>0</v>
      </c>
      <c r="X10" s="12">
        <f>+Precios!W8*Precios!W$3</f>
        <v>0</v>
      </c>
      <c r="Y10" s="12">
        <f>+Precios!X8*Precios!X$3</f>
        <v>0</v>
      </c>
      <c r="Z10" s="12">
        <f>+Precios!Y8*Precios!Y$3</f>
        <v>0</v>
      </c>
      <c r="AA10" s="12">
        <f>+Precios!Z8*Precios!Z$3</f>
        <v>0</v>
      </c>
      <c r="AB10" s="12">
        <f t="shared" si="3"/>
        <v>0</v>
      </c>
      <c r="AC10" s="12">
        <f t="shared" si="3"/>
        <v>0</v>
      </c>
      <c r="AD10" s="12">
        <f t="shared" si="3"/>
        <v>0</v>
      </c>
      <c r="AE10" s="12">
        <f>+Precios!AD8*Precios!AD$3</f>
        <v>0</v>
      </c>
      <c r="AF10" s="12">
        <f>+Precios!AE8*Precios!AE$3</f>
        <v>0</v>
      </c>
      <c r="AG10" s="12">
        <f>+Precios!AF8*Precios!AF$3</f>
        <v>0</v>
      </c>
      <c r="AH10" s="12">
        <f>+Precios!AG8*Precios!AG$3</f>
        <v>0</v>
      </c>
      <c r="AI10" s="12">
        <f>+Precios!AH8*Precios!AH$3</f>
        <v>0</v>
      </c>
      <c r="AJ10" s="12">
        <f>+Precios!AI8*Precios!AI$3</f>
        <v>0</v>
      </c>
      <c r="AK10" s="12">
        <f>+Precios!AJ8*Precios!AJ$3</f>
        <v>0</v>
      </c>
      <c r="AL10" s="12">
        <f>+Precios!AK8*Precios!AK$3</f>
        <v>0</v>
      </c>
      <c r="AM10" s="12">
        <f>+Precios!AL8*Precios!AL$3</f>
        <v>0</v>
      </c>
      <c r="AN10" s="12"/>
      <c r="AO10" s="12"/>
      <c r="AP10" s="12">
        <f>+Precios!AO8*Precios!AO$3</f>
        <v>0</v>
      </c>
      <c r="AQ10" s="12">
        <f>+Precios!AP8*Precios!AP$3</f>
        <v>0</v>
      </c>
      <c r="AR10" s="12">
        <f>+Precios!AQ8*Precios!AQ$3</f>
        <v>0</v>
      </c>
      <c r="AS10" s="12">
        <f>+Precios!AR8*Precios!AR$3</f>
        <v>0</v>
      </c>
      <c r="AT10" s="12">
        <f>+Precios!AS8*Precios!AS$3</f>
        <v>0</v>
      </c>
      <c r="AU10" s="12">
        <f>+Precios!AT8*Precios!AT$3</f>
        <v>0</v>
      </c>
      <c r="AV10" s="12"/>
      <c r="AW10" s="12">
        <f>+Precios!AV8*Precios!AV$3</f>
        <v>0</v>
      </c>
      <c r="AX10" s="12">
        <f>+Precios!AW8*Precios!AW$3</f>
        <v>0</v>
      </c>
      <c r="AY10" s="12">
        <f>+Precios!AX8*Precios!AX$3</f>
        <v>0</v>
      </c>
      <c r="AZ10" s="12">
        <f>+Precios!AY8*Precios!AY$3</f>
        <v>0</v>
      </c>
      <c r="BA10" s="12">
        <f>+Precios!AZ8*Precios!AZ$3</f>
        <v>0</v>
      </c>
      <c r="BB10" s="12">
        <f>+Precios!BA8*Precios!BA$3</f>
        <v>0</v>
      </c>
      <c r="BC10" s="12">
        <f>+Precios!BB8*Precios!BB$3</f>
        <v>0</v>
      </c>
      <c r="BD10" s="12">
        <f>+Precios!BC8*Precios!BC$3</f>
        <v>0</v>
      </c>
      <c r="BE10" s="12">
        <f>+Precios!BD8*Precios!BD$3</f>
        <v>0</v>
      </c>
      <c r="BF10" s="12">
        <f>+Precios!BE8*Precios!BE$3</f>
        <v>0</v>
      </c>
      <c r="BG10" s="12">
        <f>+Precios!BF8*Precios!BF$3</f>
        <v>0</v>
      </c>
      <c r="BH10" s="12">
        <f>+Precios!BG8*Precios!BG$3</f>
        <v>0</v>
      </c>
      <c r="BI10" s="12">
        <f>+Precios!BH8*Precios!BH$3</f>
        <v>0</v>
      </c>
      <c r="BJ10" s="12">
        <f>+Precios!BI8*Precios!BI$3</f>
        <v>0</v>
      </c>
      <c r="BK10" s="12">
        <f>+Precios!BJ8*Precios!BJ$3</f>
        <v>0</v>
      </c>
      <c r="BL10" s="12">
        <f>+Precios!BK8*Precios!BK$3</f>
        <v>0</v>
      </c>
      <c r="BM10" s="12">
        <f>+Precios!BL8*Precios!BL$3</f>
        <v>0</v>
      </c>
    </row>
    <row r="11" spans="1:74" ht="15" thickBot="1">
      <c r="A11" s="5">
        <f t="shared" si="0"/>
        <v>0</v>
      </c>
      <c r="B11" s="15">
        <f>+Precios!A9</f>
        <v>45985</v>
      </c>
      <c r="C11" s="12">
        <f>+Precios!B9*Precios!B$3</f>
        <v>0</v>
      </c>
      <c r="D11" s="12">
        <f>+Precios!C9*Precios!C$3</f>
        <v>0</v>
      </c>
      <c r="E11" s="12">
        <f>+Precios!D9*Precios!D$3</f>
        <v>0</v>
      </c>
      <c r="F11" s="12">
        <f>+Precios!E9*Precios!E$3</f>
        <v>0</v>
      </c>
      <c r="G11" s="12">
        <f>+Precios!F9*Precios!F$3</f>
        <v>0</v>
      </c>
      <c r="H11" s="12">
        <f>+Precios!G9*Precios!G$3</f>
        <v>0</v>
      </c>
      <c r="I11" s="12">
        <f t="shared" ref="I11:J11" si="6">+I10</f>
        <v>0</v>
      </c>
      <c r="J11" s="12">
        <f t="shared" si="6"/>
        <v>0</v>
      </c>
      <c r="K11" s="12">
        <f>+K10</f>
        <v>0</v>
      </c>
      <c r="L11" s="12">
        <f t="shared" ref="L11:M11" si="7">+L10</f>
        <v>0</v>
      </c>
      <c r="M11" s="12">
        <f t="shared" si="7"/>
        <v>0</v>
      </c>
      <c r="N11" s="12">
        <f>+Precios!M9*Precios!M$3</f>
        <v>0</v>
      </c>
      <c r="O11" s="12">
        <f t="shared" ref="O11" si="8">+O10</f>
        <v>0</v>
      </c>
      <c r="P11" s="12">
        <f>+Precios!O9*Precios!O$3</f>
        <v>0</v>
      </c>
      <c r="Q11" s="12">
        <f>+Precios!P9*Precios!P$3</f>
        <v>0</v>
      </c>
      <c r="R11" s="12">
        <f t="shared" ref="R11:S11" si="9">+R10</f>
        <v>0</v>
      </c>
      <c r="S11" s="12">
        <f t="shared" si="9"/>
        <v>0</v>
      </c>
      <c r="T11" s="12">
        <f>+Precios!S9*Precios!S$3</f>
        <v>0</v>
      </c>
      <c r="U11" s="12">
        <f>+Precios!T9*Precios!T$3</f>
        <v>0</v>
      </c>
      <c r="V11" s="12">
        <f>+Precios!U9*Precios!U$3</f>
        <v>0</v>
      </c>
      <c r="W11" s="12">
        <f>+Precios!V9*Precios!V$3</f>
        <v>0</v>
      </c>
      <c r="X11" s="12">
        <f>+Precios!W9*Precios!W$3</f>
        <v>0</v>
      </c>
      <c r="Y11" s="12">
        <f>+Precios!X9*Precios!X$3</f>
        <v>0</v>
      </c>
      <c r="Z11" s="12">
        <f>+Precios!Y9*Precios!Y$3</f>
        <v>0</v>
      </c>
      <c r="AA11" s="12">
        <f>+Precios!Z9*Precios!Z$3</f>
        <v>0</v>
      </c>
      <c r="AB11" s="12">
        <f t="shared" ref="AB11:AD11" si="10">+AB10</f>
        <v>0</v>
      </c>
      <c r="AC11" s="12">
        <f t="shared" si="10"/>
        <v>0</v>
      </c>
      <c r="AD11" s="12">
        <f t="shared" si="10"/>
        <v>0</v>
      </c>
      <c r="AE11" s="12">
        <f>+Precios!AD9*Precios!AD$3</f>
        <v>0</v>
      </c>
      <c r="AF11" s="12">
        <f>+Precios!AE9*Precios!AE$3</f>
        <v>0</v>
      </c>
      <c r="AG11" s="12">
        <f>+Precios!AF9*Precios!AF$3</f>
        <v>0</v>
      </c>
      <c r="AH11" s="12">
        <f>+Precios!AG9*Precios!AG$3</f>
        <v>0</v>
      </c>
      <c r="AI11" s="12">
        <f>+Precios!AH9*Precios!AH$3</f>
        <v>0</v>
      </c>
      <c r="AJ11" s="12">
        <f>+Precios!AI9*Precios!AI$3</f>
        <v>0</v>
      </c>
      <c r="AK11" s="12">
        <f>+Precios!AJ9*Precios!AJ$3</f>
        <v>0</v>
      </c>
      <c r="AL11" s="12">
        <f>+Precios!AK9*Precios!AK$3</f>
        <v>0</v>
      </c>
      <c r="AM11" s="12">
        <f>+Precios!AL9*Precios!AL$3</f>
        <v>0</v>
      </c>
      <c r="AN11" s="12"/>
      <c r="AO11" s="12"/>
      <c r="AP11" s="12">
        <f>+Precios!AO9*Precios!AO$3</f>
        <v>0</v>
      </c>
      <c r="AQ11" s="12">
        <f>+Precios!AP9*Precios!AP$3</f>
        <v>0</v>
      </c>
      <c r="AR11" s="12">
        <f>+Precios!AQ9*Precios!AQ$3</f>
        <v>0</v>
      </c>
      <c r="AS11" s="12">
        <f>+Precios!AR9*Precios!AR$3</f>
        <v>0</v>
      </c>
      <c r="AT11" s="12">
        <f>+Precios!AS9*Precios!AS$3</f>
        <v>0</v>
      </c>
      <c r="AU11" s="12">
        <f>+Precios!AT9*Precios!AT$3</f>
        <v>0</v>
      </c>
      <c r="AV11" s="12"/>
      <c r="AW11" s="12">
        <f>+Precios!AV9*Precios!AV$3</f>
        <v>0</v>
      </c>
      <c r="AX11" s="12">
        <f>+Precios!AW9*Precios!AW$3</f>
        <v>0</v>
      </c>
      <c r="AY11" s="12">
        <f>+Precios!AX9*Precios!AX$3</f>
        <v>0</v>
      </c>
      <c r="AZ11" s="12">
        <f>+Precios!AY9*Precios!AY$3</f>
        <v>0</v>
      </c>
      <c r="BA11" s="12">
        <f>+Precios!AZ9*Precios!AZ$3</f>
        <v>0</v>
      </c>
      <c r="BB11" s="12">
        <f>+Precios!BA9*Precios!BA$3</f>
        <v>0</v>
      </c>
      <c r="BC11" s="12">
        <f>+Precios!BB9*Precios!BB$3</f>
        <v>0</v>
      </c>
      <c r="BD11" s="12">
        <f>+Precios!BC9*Precios!BC$3</f>
        <v>0</v>
      </c>
      <c r="BE11" s="12">
        <f>+Precios!BD9*Precios!BD$3</f>
        <v>0</v>
      </c>
      <c r="BF11" s="12">
        <f>+Precios!BE9*Precios!BE$3</f>
        <v>0</v>
      </c>
      <c r="BG11" s="12">
        <f>+Precios!BF9*Precios!BF$3</f>
        <v>0</v>
      </c>
      <c r="BH11" s="12">
        <f>+Precios!BG9*Precios!BG$3</f>
        <v>0</v>
      </c>
      <c r="BI11" s="12">
        <f>+Precios!BH9*Precios!BH$3</f>
        <v>0</v>
      </c>
      <c r="BJ11" s="12">
        <f>+Precios!BI9*Precios!BI$3</f>
        <v>0</v>
      </c>
      <c r="BK11" s="12">
        <f>+Precios!BJ9*Precios!BJ$3</f>
        <v>0</v>
      </c>
      <c r="BL11" s="12">
        <f>+Precios!BK9*Precios!BK$3</f>
        <v>0</v>
      </c>
      <c r="BM11" s="12">
        <f>+Precios!BL9*Precios!BL$3</f>
        <v>0</v>
      </c>
    </row>
    <row r="12" spans="1:74" ht="15" thickBot="1">
      <c r="A12" s="5">
        <f t="shared" si="0"/>
        <v>0</v>
      </c>
      <c r="B12" s="15">
        <f>+Precios!A10</f>
        <v>45986</v>
      </c>
      <c r="C12" s="12">
        <f>+C11</f>
        <v>0</v>
      </c>
      <c r="D12" s="12">
        <f>+Precios!C10*Precios!C$3</f>
        <v>0</v>
      </c>
      <c r="E12" s="12">
        <f>+Precios!D10*Precios!D$3</f>
        <v>0</v>
      </c>
      <c r="F12" s="12">
        <f>+Precios!E10*Precios!E$3</f>
        <v>0</v>
      </c>
      <c r="G12" s="12">
        <f>+Precios!F10*Precios!F$3</f>
        <v>0</v>
      </c>
      <c r="H12" s="12">
        <f>+Precios!G10*Precios!G$3</f>
        <v>0</v>
      </c>
      <c r="I12" s="12">
        <f t="shared" ref="I12:J12" si="11">+I11</f>
        <v>0</v>
      </c>
      <c r="J12" s="12">
        <f t="shared" si="11"/>
        <v>0</v>
      </c>
      <c r="K12" s="12">
        <f t="shared" si="1"/>
        <v>0</v>
      </c>
      <c r="L12" s="12">
        <f t="shared" si="1"/>
        <v>0</v>
      </c>
      <c r="M12" s="12">
        <f t="shared" si="1"/>
        <v>0</v>
      </c>
      <c r="N12" s="12">
        <f t="shared" si="4"/>
        <v>0</v>
      </c>
      <c r="O12" s="12">
        <f t="shared" si="4"/>
        <v>0</v>
      </c>
      <c r="P12" s="12">
        <f>+Precios!O10*Precios!O$3</f>
        <v>0</v>
      </c>
      <c r="Q12" s="12">
        <f>+Precios!P10*Precios!P$3</f>
        <v>0</v>
      </c>
      <c r="R12" s="12">
        <f t="shared" ref="R12:S12" si="12">+R11</f>
        <v>0</v>
      </c>
      <c r="S12" s="12">
        <f t="shared" si="12"/>
        <v>0</v>
      </c>
      <c r="T12" s="12">
        <f>+Precios!S10*Precios!S$3</f>
        <v>0</v>
      </c>
      <c r="U12" s="12">
        <f>+Precios!T10*Precios!T$3</f>
        <v>0</v>
      </c>
      <c r="V12" s="12">
        <f>+Precios!U10*Precios!U$3</f>
        <v>0</v>
      </c>
      <c r="W12" s="12">
        <f>+Precios!V10*Precios!V$3</f>
        <v>0</v>
      </c>
      <c r="X12" s="12">
        <f>+Precios!W10*Precios!W$3</f>
        <v>0</v>
      </c>
      <c r="Y12" s="12">
        <f>+Precios!X10*Precios!X$3</f>
        <v>0</v>
      </c>
      <c r="Z12" s="12">
        <f>+Precios!Y10*Precios!Y$3</f>
        <v>0</v>
      </c>
      <c r="AA12" s="12">
        <f>+Precios!Z10*Precios!Z$3</f>
        <v>0</v>
      </c>
      <c r="AB12" s="12">
        <f t="shared" ref="AB12:AD12" si="13">+AB11</f>
        <v>0</v>
      </c>
      <c r="AC12" s="12">
        <f t="shared" si="13"/>
        <v>0</v>
      </c>
      <c r="AD12" s="12">
        <f t="shared" si="13"/>
        <v>0</v>
      </c>
      <c r="AE12" s="12">
        <f>+Precios!AD10*Precios!AD$3</f>
        <v>0</v>
      </c>
      <c r="AF12" s="12">
        <f>+Precios!AE10*Precios!AE$3</f>
        <v>0</v>
      </c>
      <c r="AG12" s="12">
        <f>+Precios!AF10*Precios!AF$3</f>
        <v>0</v>
      </c>
      <c r="AH12" s="12">
        <f>+Precios!AG10*Precios!AG$3</f>
        <v>0</v>
      </c>
      <c r="AI12" s="12">
        <f>+Precios!AH10*Precios!AH$3</f>
        <v>0</v>
      </c>
      <c r="AJ12" s="12">
        <f>+Precios!AI10*Precios!AI$3</f>
        <v>0</v>
      </c>
      <c r="AK12" s="12">
        <f>+Precios!AJ10*Precios!AJ$3</f>
        <v>0</v>
      </c>
      <c r="AL12" s="12">
        <f>+Precios!AK10*Precios!AK$3</f>
        <v>0</v>
      </c>
      <c r="AM12" s="12">
        <f>+Precios!AL10*Precios!AL$3</f>
        <v>0</v>
      </c>
      <c r="AN12" s="12"/>
      <c r="AO12" s="12"/>
      <c r="AP12" s="12">
        <f>+Precios!AO10*Precios!AO$3</f>
        <v>0</v>
      </c>
      <c r="AQ12" s="12">
        <f>+Precios!AP10*Precios!AP$3</f>
        <v>0</v>
      </c>
      <c r="AR12" s="12">
        <f>+Precios!AQ10*Precios!AQ$3</f>
        <v>0</v>
      </c>
      <c r="AS12" s="12">
        <f>+Precios!AR10*Precios!AR$3</f>
        <v>0</v>
      </c>
      <c r="AT12" s="12">
        <f>+Precios!AS10*Precios!AS$3</f>
        <v>0</v>
      </c>
      <c r="AU12" s="12">
        <f>+Precios!AT10*Precios!AT$3</f>
        <v>0</v>
      </c>
      <c r="AV12" s="12"/>
      <c r="AW12" s="12">
        <f>+Precios!AV10*Precios!AV$3</f>
        <v>0</v>
      </c>
      <c r="AX12" s="12">
        <f>+Precios!AW10*Precios!AW$3</f>
        <v>0</v>
      </c>
      <c r="AY12" s="12">
        <f>+Precios!AX10*Precios!AX$3</f>
        <v>0</v>
      </c>
      <c r="AZ12" s="12">
        <f>+Precios!AY10*Precios!AY$3</f>
        <v>0</v>
      </c>
      <c r="BA12" s="12">
        <f>+Precios!AZ10*Precios!AZ$3</f>
        <v>0</v>
      </c>
      <c r="BB12" s="12">
        <f>+Precios!BA10*Precios!BA$3</f>
        <v>0</v>
      </c>
      <c r="BC12" s="12">
        <f>+Precios!BB10*Precios!BB$3</f>
        <v>0</v>
      </c>
      <c r="BD12" s="12">
        <f>+Precios!BC10*Precios!BC$3</f>
        <v>0</v>
      </c>
      <c r="BE12" s="12">
        <f>+Precios!BD10*Precios!BD$3</f>
        <v>0</v>
      </c>
      <c r="BF12" s="12">
        <f>+Precios!BE10*Precios!BE$3</f>
        <v>0</v>
      </c>
      <c r="BG12" s="12">
        <f>+Precios!BF10*Precios!BF$3</f>
        <v>0</v>
      </c>
      <c r="BH12" s="12">
        <f>+Precios!BG10*Precios!BG$3</f>
        <v>0</v>
      </c>
      <c r="BI12" s="12">
        <f>+Precios!BH10*Precios!BH$3</f>
        <v>0</v>
      </c>
      <c r="BJ12" s="12">
        <f>+Precios!BI10*Precios!BI$3</f>
        <v>0</v>
      </c>
      <c r="BK12" s="12">
        <f>+Precios!BJ10*Precios!BJ$3</f>
        <v>0</v>
      </c>
      <c r="BL12" s="12">
        <f>+Precios!BK10*Precios!BK$3</f>
        <v>0</v>
      </c>
      <c r="BM12" s="12">
        <f>+Precios!BL10*Precios!BL$3</f>
        <v>0</v>
      </c>
    </row>
    <row r="13" spans="1:74" ht="15" thickBot="1">
      <c r="A13" s="5">
        <f t="shared" si="0"/>
        <v>0</v>
      </c>
      <c r="B13" s="15">
        <f>+Precios!A11</f>
        <v>45987</v>
      </c>
      <c r="C13" s="12">
        <f t="shared" ref="C13:C19" si="14">+C12</f>
        <v>0</v>
      </c>
      <c r="D13" s="12">
        <f>+Precios!C11*Precios!C$3</f>
        <v>0</v>
      </c>
      <c r="E13" s="12">
        <f>+Precios!D11*Precios!D$3</f>
        <v>0</v>
      </c>
      <c r="F13" s="12">
        <f>+Precios!E11*Precios!E$3</f>
        <v>0</v>
      </c>
      <c r="G13" s="12">
        <f>+Precios!F11*Precios!F$3</f>
        <v>0</v>
      </c>
      <c r="H13" s="12">
        <f>+Precios!G11*Precios!G$3</f>
        <v>0</v>
      </c>
      <c r="I13" s="12">
        <f t="shared" ref="I13:J13" si="15">+I12</f>
        <v>0</v>
      </c>
      <c r="J13" s="12">
        <f t="shared" si="15"/>
        <v>0</v>
      </c>
      <c r="K13" s="12">
        <f t="shared" si="1"/>
        <v>0</v>
      </c>
      <c r="L13" s="12">
        <f t="shared" si="1"/>
        <v>0</v>
      </c>
      <c r="M13" s="12">
        <f t="shared" si="1"/>
        <v>0</v>
      </c>
      <c r="N13" s="12">
        <f t="shared" si="4"/>
        <v>0</v>
      </c>
      <c r="O13" s="12">
        <f t="shared" si="4"/>
        <v>0</v>
      </c>
      <c r="P13" s="12">
        <f>+Precios!O11*Precios!O$3</f>
        <v>0</v>
      </c>
      <c r="Q13" s="12">
        <f>+Precios!P11*Precios!P$3</f>
        <v>0</v>
      </c>
      <c r="R13" s="12">
        <f t="shared" ref="R13:S13" si="16">+R12</f>
        <v>0</v>
      </c>
      <c r="S13" s="12">
        <f t="shared" si="16"/>
        <v>0</v>
      </c>
      <c r="T13" s="12">
        <f>+Precios!S11*Precios!S$3</f>
        <v>0</v>
      </c>
      <c r="U13" s="12">
        <f>+Precios!T11*Precios!T$3</f>
        <v>0</v>
      </c>
      <c r="V13" s="12">
        <f>+Precios!U11*Precios!U$3</f>
        <v>0</v>
      </c>
      <c r="W13" s="12">
        <f>+Precios!V11*Precios!V$3</f>
        <v>0</v>
      </c>
      <c r="X13" s="12">
        <f>+Precios!W11*Precios!W$3</f>
        <v>0</v>
      </c>
      <c r="Y13" s="12">
        <f>+Precios!X11*Precios!X$3</f>
        <v>0</v>
      </c>
      <c r="Z13" s="12">
        <f>+Precios!Y11*Precios!Y$3</f>
        <v>0</v>
      </c>
      <c r="AA13" s="12">
        <f>+Precios!Z11*Precios!Z$3</f>
        <v>0</v>
      </c>
      <c r="AB13" s="12">
        <f t="shared" ref="AB13:AD13" si="17">+AB12</f>
        <v>0</v>
      </c>
      <c r="AC13" s="12">
        <f t="shared" si="17"/>
        <v>0</v>
      </c>
      <c r="AD13" s="12">
        <f t="shared" si="17"/>
        <v>0</v>
      </c>
      <c r="AE13" s="12">
        <f>+Precios!AD11*Precios!AD$3</f>
        <v>0</v>
      </c>
      <c r="AF13" s="12">
        <f>+Precios!AE11*Precios!AE$3</f>
        <v>0</v>
      </c>
      <c r="AG13" s="12">
        <f>+Precios!AF11*Precios!AF$3</f>
        <v>0</v>
      </c>
      <c r="AH13" s="12">
        <f>+Precios!AG11*Precios!AG$3</f>
        <v>0</v>
      </c>
      <c r="AI13" s="12">
        <f>+Precios!AH11*Precios!AH$3</f>
        <v>0</v>
      </c>
      <c r="AJ13" s="12">
        <f>+Precios!AI11*Precios!AI$3</f>
        <v>0</v>
      </c>
      <c r="AK13" s="12">
        <f>+Precios!AJ11*Precios!AJ$3</f>
        <v>0</v>
      </c>
      <c r="AL13" s="12">
        <f>+Precios!AK11*Precios!AK$3</f>
        <v>0</v>
      </c>
      <c r="AM13" s="12">
        <f>+Precios!AL11*Precios!AL$3</f>
        <v>0</v>
      </c>
      <c r="AN13" s="12"/>
      <c r="AO13" s="12"/>
      <c r="AP13" s="12">
        <f>+Precios!AO11*Precios!AO$3</f>
        <v>0</v>
      </c>
      <c r="AQ13" s="12">
        <f>+Precios!AP11*Precios!AP$3</f>
        <v>0</v>
      </c>
      <c r="AR13" s="12">
        <f>+Precios!AQ11*Precios!AQ$3</f>
        <v>0</v>
      </c>
      <c r="AS13" s="12">
        <f>+Precios!AR11*Precios!AR$3</f>
        <v>0</v>
      </c>
      <c r="AT13" s="12">
        <f>+Precios!AS11*Precios!AS$3</f>
        <v>0</v>
      </c>
      <c r="AU13" s="12">
        <f>+Precios!AT11*Precios!AT$3</f>
        <v>0</v>
      </c>
      <c r="AV13" s="12"/>
      <c r="AW13" s="12">
        <f>+Precios!AV11*Precios!AV$3</f>
        <v>0</v>
      </c>
      <c r="AX13" s="12">
        <f>+Precios!AW11*Precios!AW$3</f>
        <v>0</v>
      </c>
      <c r="AY13" s="12">
        <f>+Precios!AX11*Precios!AX$3</f>
        <v>0</v>
      </c>
      <c r="AZ13" s="12">
        <f>+Precios!AY11*Precios!AY$3</f>
        <v>0</v>
      </c>
      <c r="BA13" s="12">
        <f>+Precios!AZ11*Precios!AZ$3</f>
        <v>0</v>
      </c>
      <c r="BB13" s="12">
        <f>+Precios!BA11*Precios!BA$3</f>
        <v>0</v>
      </c>
      <c r="BC13" s="12">
        <f>+Precios!BB11*Precios!BB$3</f>
        <v>0</v>
      </c>
      <c r="BD13" s="12">
        <f>+Precios!BC11*Precios!BC$3</f>
        <v>0</v>
      </c>
      <c r="BE13" s="12">
        <f>+Precios!BD11*Precios!BD$3</f>
        <v>0</v>
      </c>
      <c r="BF13" s="12">
        <f>+Precios!BE11*Precios!BE$3</f>
        <v>0</v>
      </c>
      <c r="BG13" s="12">
        <f>+Precios!BF11*Precios!BF$3</f>
        <v>0</v>
      </c>
      <c r="BH13" s="12">
        <f>+Precios!BG11*Precios!BG$3</f>
        <v>0</v>
      </c>
      <c r="BI13" s="12">
        <f>+Precios!BH11*Precios!BH$3</f>
        <v>0</v>
      </c>
      <c r="BJ13" s="12">
        <f>+Precios!BI11*Precios!BI$3</f>
        <v>0</v>
      </c>
      <c r="BK13" s="12">
        <f>+Precios!BJ11*Precios!BJ$3</f>
        <v>0</v>
      </c>
      <c r="BL13" s="12">
        <f>+Precios!BK11*Precios!BK$3</f>
        <v>0</v>
      </c>
      <c r="BM13" s="12">
        <f>+Precios!BL11*Precios!BL$3</f>
        <v>0</v>
      </c>
    </row>
    <row r="14" spans="1:74" ht="15" thickBot="1">
      <c r="A14" s="5">
        <f t="shared" si="0"/>
        <v>0</v>
      </c>
      <c r="B14" s="15">
        <f>+Precios!A12</f>
        <v>45988</v>
      </c>
      <c r="C14" s="12">
        <f t="shared" si="14"/>
        <v>0</v>
      </c>
      <c r="D14" s="12">
        <f>+Precios!C12*Precios!C$3</f>
        <v>0</v>
      </c>
      <c r="E14" s="12">
        <f>+Precios!D12*Precios!D$3</f>
        <v>0</v>
      </c>
      <c r="F14" s="12">
        <f>+Precios!E12*Precios!E$3</f>
        <v>0</v>
      </c>
      <c r="G14" s="12">
        <f>+Precios!F12*Precios!F$3</f>
        <v>0</v>
      </c>
      <c r="H14" s="12">
        <f>+Precios!G12*Precios!G$3</f>
        <v>0</v>
      </c>
      <c r="I14" s="12">
        <f t="shared" ref="I14:J14" si="18">+I13</f>
        <v>0</v>
      </c>
      <c r="J14" s="12">
        <f t="shared" si="18"/>
        <v>0</v>
      </c>
      <c r="K14" s="12">
        <f t="shared" si="1"/>
        <v>0</v>
      </c>
      <c r="L14" s="12">
        <f t="shared" si="1"/>
        <v>0</v>
      </c>
      <c r="M14" s="12">
        <f t="shared" si="1"/>
        <v>0</v>
      </c>
      <c r="N14" s="12">
        <f t="shared" si="4"/>
        <v>0</v>
      </c>
      <c r="O14" s="12">
        <f t="shared" si="4"/>
        <v>0</v>
      </c>
      <c r="P14" s="12">
        <f>+Precios!O12*Precios!O$3</f>
        <v>0</v>
      </c>
      <c r="Q14" s="12">
        <f>+Precios!P12*Precios!P$3</f>
        <v>0</v>
      </c>
      <c r="R14" s="12">
        <f t="shared" ref="R14:S14" si="19">+R13</f>
        <v>0</v>
      </c>
      <c r="S14" s="12">
        <f t="shared" si="19"/>
        <v>0</v>
      </c>
      <c r="T14" s="12">
        <f>+Precios!S12*Precios!S$3</f>
        <v>0</v>
      </c>
      <c r="U14" s="12">
        <f>+Precios!T12*Precios!T$3</f>
        <v>0</v>
      </c>
      <c r="V14" s="12">
        <f>+Precios!U12*Precios!U$3</f>
        <v>0</v>
      </c>
      <c r="W14" s="12">
        <f>+Precios!V12*Precios!V$3</f>
        <v>0</v>
      </c>
      <c r="X14" s="12">
        <f>+Precios!W12*Precios!W$3</f>
        <v>0</v>
      </c>
      <c r="Y14" s="12">
        <f>+Precios!X12*Precios!X$3</f>
        <v>0</v>
      </c>
      <c r="Z14" s="12">
        <f>+Precios!Y12*Precios!Y$3</f>
        <v>0</v>
      </c>
      <c r="AA14" s="12">
        <f>+Precios!Z12*Precios!Z$3</f>
        <v>0</v>
      </c>
      <c r="AB14" s="12">
        <f t="shared" ref="AB14:AD14" si="20">+AB13</f>
        <v>0</v>
      </c>
      <c r="AC14" s="12">
        <f t="shared" si="20"/>
        <v>0</v>
      </c>
      <c r="AD14" s="12">
        <f t="shared" si="20"/>
        <v>0</v>
      </c>
      <c r="AE14" s="12">
        <f>+Precios!AD12*Precios!AD$3</f>
        <v>0</v>
      </c>
      <c r="AF14" s="12">
        <f>+Precios!AE12*Precios!AE$3</f>
        <v>0</v>
      </c>
      <c r="AG14" s="12">
        <f>+Precios!AF12*Precios!AF$3</f>
        <v>0</v>
      </c>
      <c r="AH14" s="12">
        <f>+Precios!AG12*Precios!AG$3</f>
        <v>0</v>
      </c>
      <c r="AI14" s="12">
        <f>+Precios!AH12*Precios!AH$3</f>
        <v>0</v>
      </c>
      <c r="AJ14" s="12">
        <f>+Precios!AI12*Precios!AI$3</f>
        <v>0</v>
      </c>
      <c r="AK14" s="12">
        <f>+Precios!AJ12*Precios!AJ$3</f>
        <v>0</v>
      </c>
      <c r="AL14" s="12">
        <f>+Precios!AK12*Precios!AK$3</f>
        <v>0</v>
      </c>
      <c r="AM14" s="12">
        <f>+Precios!AL12*Precios!AL$3</f>
        <v>0</v>
      </c>
      <c r="AN14" s="12"/>
      <c r="AO14" s="12"/>
      <c r="AP14" s="12">
        <f>+Precios!AO12*Precios!AO$3</f>
        <v>0</v>
      </c>
      <c r="AQ14" s="12">
        <f>+Precios!AP12*Precios!AP$3</f>
        <v>0</v>
      </c>
      <c r="AR14" s="12">
        <f>+Precios!AQ12*Precios!AQ$3</f>
        <v>0</v>
      </c>
      <c r="AS14" s="12">
        <f>+Precios!AR12*Precios!AR$3</f>
        <v>0</v>
      </c>
      <c r="AT14" s="12">
        <f>+Precios!AS12*Precios!AS$3</f>
        <v>0</v>
      </c>
      <c r="AU14" s="12">
        <f>+Precios!AT12*Precios!AT$3</f>
        <v>0</v>
      </c>
      <c r="AV14" s="12"/>
      <c r="AW14" s="12">
        <f>+Precios!AV12*Precios!AV$3</f>
        <v>0</v>
      </c>
      <c r="AX14" s="12">
        <f>+Precios!AW12*Precios!AW$3</f>
        <v>0</v>
      </c>
      <c r="AY14" s="12">
        <f>+Precios!AX12*Precios!AX$3</f>
        <v>0</v>
      </c>
      <c r="AZ14" s="12">
        <f>+Precios!AY12*Precios!AY$3</f>
        <v>0</v>
      </c>
      <c r="BA14" s="12">
        <f>+Precios!AZ12*Precios!AZ$3</f>
        <v>0</v>
      </c>
      <c r="BB14" s="12">
        <f>+Precios!BA12*Precios!BA$3</f>
        <v>0</v>
      </c>
      <c r="BC14" s="12">
        <f>+Precios!BB12*Precios!BB$3</f>
        <v>0</v>
      </c>
      <c r="BD14" s="12">
        <f>+Precios!BC12*Precios!BC$3</f>
        <v>0</v>
      </c>
      <c r="BE14" s="12">
        <f>+Precios!BD12*Precios!BD$3</f>
        <v>0</v>
      </c>
      <c r="BF14" s="12">
        <f>+Precios!BE12*Precios!BE$3</f>
        <v>0</v>
      </c>
      <c r="BG14" s="12">
        <f>+Precios!BF12*Precios!BF$3</f>
        <v>0</v>
      </c>
      <c r="BH14" s="12">
        <f>+Precios!BG12*Precios!BG$3</f>
        <v>0</v>
      </c>
      <c r="BI14" s="12">
        <f>+Precios!BH12*Precios!BH$3</f>
        <v>0</v>
      </c>
      <c r="BJ14" s="12">
        <f>+Precios!BI12*Precios!BI$3</f>
        <v>0</v>
      </c>
      <c r="BK14" s="12">
        <f>+Precios!BJ12*Precios!BJ$3</f>
        <v>0</v>
      </c>
      <c r="BL14" s="12">
        <f>+Precios!BK12*Precios!BK$3</f>
        <v>0</v>
      </c>
      <c r="BM14" s="12">
        <f>+Precios!BL12*Precios!BL$3</f>
        <v>0</v>
      </c>
    </row>
    <row r="15" spans="1:74" ht="15" thickBot="1">
      <c r="A15" s="5">
        <f t="shared" si="0"/>
        <v>0</v>
      </c>
      <c r="B15" s="15">
        <f>+Precios!A13</f>
        <v>45989</v>
      </c>
      <c r="C15" s="12">
        <f t="shared" si="14"/>
        <v>0</v>
      </c>
      <c r="D15" s="12">
        <f>+Precios!C13*Precios!C$3</f>
        <v>0</v>
      </c>
      <c r="E15" s="12">
        <f>+Precios!D13*Precios!D$3</f>
        <v>0</v>
      </c>
      <c r="F15" s="12">
        <f>+Precios!E13*Precios!E$3</f>
        <v>0</v>
      </c>
      <c r="G15" s="12">
        <f>+Precios!F13*Precios!F$3</f>
        <v>0</v>
      </c>
      <c r="H15" s="12">
        <f>+Precios!G13*Precios!G$3</f>
        <v>0</v>
      </c>
      <c r="I15" s="12">
        <f t="shared" ref="I15:J15" si="21">+I14</f>
        <v>0</v>
      </c>
      <c r="J15" s="12">
        <f t="shared" si="21"/>
        <v>0</v>
      </c>
      <c r="K15" s="12">
        <f t="shared" si="1"/>
        <v>0</v>
      </c>
      <c r="L15" s="12">
        <f t="shared" si="1"/>
        <v>0</v>
      </c>
      <c r="M15" s="12">
        <f t="shared" si="1"/>
        <v>0</v>
      </c>
      <c r="N15" s="12">
        <f t="shared" si="4"/>
        <v>0</v>
      </c>
      <c r="O15" s="12">
        <f t="shared" si="4"/>
        <v>0</v>
      </c>
      <c r="P15" s="12">
        <f>+Precios!O13*Precios!O$3</f>
        <v>0</v>
      </c>
      <c r="Q15" s="12">
        <f>+Precios!P13*Precios!P$3</f>
        <v>0</v>
      </c>
      <c r="R15" s="12">
        <f t="shared" ref="R15:S15" si="22">+R14</f>
        <v>0</v>
      </c>
      <c r="S15" s="12">
        <f t="shared" si="22"/>
        <v>0</v>
      </c>
      <c r="T15" s="12">
        <f>+Precios!S13*Precios!S$3</f>
        <v>0</v>
      </c>
      <c r="U15" s="12">
        <f>+Precios!T13*Precios!T$3</f>
        <v>0</v>
      </c>
      <c r="V15" s="12">
        <f>+Precios!U13*Precios!U$3</f>
        <v>0</v>
      </c>
      <c r="W15" s="12">
        <f>+Precios!V13*Precios!V$3</f>
        <v>0</v>
      </c>
      <c r="X15" s="12">
        <f>+Precios!W13*Precios!W$3</f>
        <v>0</v>
      </c>
      <c r="Y15" s="12">
        <f>+Precios!X13*Precios!X$3</f>
        <v>0</v>
      </c>
      <c r="Z15" s="12">
        <f>+Precios!Y13*Precios!Y$3</f>
        <v>0</v>
      </c>
      <c r="AA15" s="12">
        <f>+Precios!Z13*Precios!Z$3</f>
        <v>0</v>
      </c>
      <c r="AB15" s="12">
        <f t="shared" ref="AB15:AD15" si="23">+AB14</f>
        <v>0</v>
      </c>
      <c r="AC15" s="12">
        <f t="shared" si="23"/>
        <v>0</v>
      </c>
      <c r="AD15" s="12">
        <f t="shared" si="23"/>
        <v>0</v>
      </c>
      <c r="AE15" s="12">
        <f>+Precios!AD13*Precios!AD$3</f>
        <v>0</v>
      </c>
      <c r="AF15" s="12">
        <f>+Precios!AE13*Precios!AE$3</f>
        <v>0</v>
      </c>
      <c r="AG15" s="12">
        <f>+Precios!AF13*Precios!AF$3</f>
        <v>0</v>
      </c>
      <c r="AH15" s="12">
        <f>+Precios!AG13*Precios!AG$3</f>
        <v>0</v>
      </c>
      <c r="AI15" s="12">
        <f>+Precios!AH13*Precios!AH$3</f>
        <v>0</v>
      </c>
      <c r="AJ15" s="12">
        <f>+Precios!AI13*Precios!AI$3</f>
        <v>0</v>
      </c>
      <c r="AK15" s="12">
        <f>+Precios!AJ13*Precios!AJ$3</f>
        <v>0</v>
      </c>
      <c r="AL15" s="12">
        <f>+Precios!AK13*Precios!AK$3</f>
        <v>0</v>
      </c>
      <c r="AM15" s="12">
        <f>+Precios!AL13*Precios!AL$3</f>
        <v>0</v>
      </c>
      <c r="AN15" s="12"/>
      <c r="AO15" s="12"/>
      <c r="AP15" s="12">
        <f>+Precios!AO13*Precios!AO$3</f>
        <v>0</v>
      </c>
      <c r="AQ15" s="12">
        <f>+Precios!AP13*Precios!AP$3</f>
        <v>0</v>
      </c>
      <c r="AR15" s="12">
        <f>+Precios!AQ13*Precios!AQ$3</f>
        <v>0</v>
      </c>
      <c r="AS15" s="12">
        <f>+Precios!AR13*Precios!AR$3</f>
        <v>0</v>
      </c>
      <c r="AT15" s="12">
        <f>+Precios!AS13*Precios!AS$3</f>
        <v>0</v>
      </c>
      <c r="AU15" s="12">
        <f>+Precios!AT13*Precios!AT$3</f>
        <v>0</v>
      </c>
      <c r="AV15" s="12"/>
      <c r="AW15" s="12">
        <f>+Precios!AV13*Precios!AV$3</f>
        <v>0</v>
      </c>
      <c r="AX15" s="12">
        <f>+Precios!AW13*Precios!AW$3</f>
        <v>0</v>
      </c>
      <c r="AY15" s="12">
        <f>+Precios!AX13*Precios!AX$3</f>
        <v>0</v>
      </c>
      <c r="AZ15" s="12">
        <f>+Precios!AY13*Precios!AY$3</f>
        <v>0</v>
      </c>
      <c r="BA15" s="12">
        <f>+Precios!AZ13*Precios!AZ$3</f>
        <v>0</v>
      </c>
      <c r="BB15" s="12">
        <f>+Precios!BA13*Precios!BA$3</f>
        <v>0</v>
      </c>
      <c r="BC15" s="12">
        <f>+Precios!BB13*Precios!BB$3</f>
        <v>0</v>
      </c>
      <c r="BD15" s="12">
        <f>+Precios!BC13*Precios!BC$3</f>
        <v>0</v>
      </c>
      <c r="BE15" s="12">
        <f>+Precios!BD13*Precios!BD$3</f>
        <v>0</v>
      </c>
      <c r="BF15" s="12">
        <f>+Precios!BE13*Precios!BE$3</f>
        <v>0</v>
      </c>
      <c r="BG15" s="12">
        <f>+Precios!BF13*Precios!BF$3</f>
        <v>0</v>
      </c>
      <c r="BH15" s="12">
        <f>+Precios!BG13*Precios!BG$3</f>
        <v>0</v>
      </c>
      <c r="BI15" s="12">
        <f>+Precios!BH13*Precios!BH$3</f>
        <v>0</v>
      </c>
      <c r="BJ15" s="12">
        <f>+Precios!BI13*Precios!BI$3</f>
        <v>0</v>
      </c>
      <c r="BK15" s="12">
        <f>+Precios!BJ13*Precios!BJ$3</f>
        <v>0</v>
      </c>
      <c r="BL15" s="12">
        <f>+Precios!BK13*Precios!BK$3</f>
        <v>0</v>
      </c>
      <c r="BM15" s="12">
        <f>+Precios!BL13*Precios!BL$3</f>
        <v>0</v>
      </c>
    </row>
    <row r="16" spans="1:74" ht="15" thickBot="1">
      <c r="A16" s="5">
        <f t="shared" si="0"/>
        <v>0</v>
      </c>
      <c r="B16" s="15">
        <f>+Precios!A14</f>
        <v>45992</v>
      </c>
      <c r="C16" s="12">
        <f t="shared" si="14"/>
        <v>0</v>
      </c>
      <c r="D16" s="12">
        <f>+Precios!C14*Precios!C$3</f>
        <v>0</v>
      </c>
      <c r="E16" s="12">
        <f>+Precios!D14*Precios!D$3</f>
        <v>0</v>
      </c>
      <c r="F16" s="12">
        <f>+Precios!E14*Precios!E$3</f>
        <v>0</v>
      </c>
      <c r="G16" s="12">
        <f>+Precios!F14*Precios!F$3</f>
        <v>0</v>
      </c>
      <c r="H16" s="12">
        <f>+Precios!G14*Precios!G$3</f>
        <v>0</v>
      </c>
      <c r="I16" s="12">
        <f t="shared" ref="I16:O16" si="24">+I15</f>
        <v>0</v>
      </c>
      <c r="J16" s="12">
        <f t="shared" si="24"/>
        <v>0</v>
      </c>
      <c r="K16" s="12">
        <f t="shared" si="24"/>
        <v>0</v>
      </c>
      <c r="L16" s="12">
        <f t="shared" si="24"/>
        <v>0</v>
      </c>
      <c r="M16" s="12">
        <f t="shared" si="24"/>
        <v>0</v>
      </c>
      <c r="N16" s="12">
        <f t="shared" si="24"/>
        <v>0</v>
      </c>
      <c r="O16" s="12">
        <f t="shared" si="24"/>
        <v>0</v>
      </c>
      <c r="P16" s="12">
        <f>+Precios!O14*Precios!O$3</f>
        <v>0</v>
      </c>
      <c r="Q16" s="12">
        <f>+Precios!P14*Precios!P$3</f>
        <v>0</v>
      </c>
      <c r="R16" s="12">
        <f t="shared" ref="R16:S16" si="25">+R15</f>
        <v>0</v>
      </c>
      <c r="S16" s="12">
        <f t="shared" si="25"/>
        <v>0</v>
      </c>
      <c r="T16" s="12">
        <f>+Precios!S14*Precios!S$3</f>
        <v>0</v>
      </c>
      <c r="U16" s="12">
        <f>+Precios!T14*Precios!T$3</f>
        <v>0</v>
      </c>
      <c r="V16" s="12">
        <f>+Precios!U14*Precios!U$3</f>
        <v>0</v>
      </c>
      <c r="W16" s="12">
        <f>+Precios!V14*Precios!V$3</f>
        <v>0</v>
      </c>
      <c r="X16" s="12">
        <f>+Precios!W14*Precios!W$3</f>
        <v>0</v>
      </c>
      <c r="Y16" s="12">
        <f>+Precios!X14*Precios!X$3</f>
        <v>0</v>
      </c>
      <c r="Z16" s="12">
        <f>+Precios!Y14*Precios!Y$3</f>
        <v>0</v>
      </c>
      <c r="AA16" s="12">
        <f>+Precios!Z14*Precios!Z$3</f>
        <v>0</v>
      </c>
      <c r="AB16" s="12">
        <f t="shared" ref="AB16:AD16" si="26">+AB15</f>
        <v>0</v>
      </c>
      <c r="AC16" s="12">
        <f t="shared" si="26"/>
        <v>0</v>
      </c>
      <c r="AD16" s="12">
        <f t="shared" si="26"/>
        <v>0</v>
      </c>
      <c r="AE16" s="12">
        <f>+Precios!AD14*Precios!AD$3</f>
        <v>0</v>
      </c>
      <c r="AF16" s="12">
        <f>+Precios!AE14*Precios!AE$3</f>
        <v>0</v>
      </c>
      <c r="AG16" s="12">
        <f>+Precios!AF14*Precios!AF$3</f>
        <v>0</v>
      </c>
      <c r="AH16" s="12">
        <f>+Precios!AG14*Precios!AG$3</f>
        <v>0</v>
      </c>
      <c r="AI16" s="12">
        <f>+Precios!AH14*Precios!AH$3</f>
        <v>0</v>
      </c>
      <c r="AJ16" s="12">
        <f>+Precios!AI14*Precios!AI$3</f>
        <v>0</v>
      </c>
      <c r="AK16" s="12">
        <f>+Precios!AJ14*Precios!AJ$3</f>
        <v>0</v>
      </c>
      <c r="AL16" s="12">
        <f>+Precios!AK14*Precios!AK$3</f>
        <v>0</v>
      </c>
      <c r="AM16" s="12">
        <f>+Precios!AL14*Precios!AL$3</f>
        <v>0</v>
      </c>
      <c r="AN16" s="12"/>
      <c r="AO16" s="12"/>
      <c r="AP16" s="12">
        <f>+Precios!AO14*Precios!AO$3</f>
        <v>0</v>
      </c>
      <c r="AQ16" s="12">
        <f>+Precios!AP14*Precios!AP$3</f>
        <v>0</v>
      </c>
      <c r="AR16" s="12">
        <f>+Precios!AQ14*Precios!AQ$3</f>
        <v>0</v>
      </c>
      <c r="AS16" s="12">
        <f>+Precios!AR14*Precios!AR$3</f>
        <v>0</v>
      </c>
      <c r="AT16" s="12">
        <f>+Precios!AS14*Precios!AS$3</f>
        <v>0</v>
      </c>
      <c r="AU16" s="12">
        <f>+Precios!AT14*Precios!AT$3</f>
        <v>0</v>
      </c>
      <c r="AV16" s="12"/>
      <c r="AW16" s="12">
        <f>+Precios!AV14*Precios!AV$3</f>
        <v>0</v>
      </c>
      <c r="AX16" s="12">
        <f>+Precios!AW14*Precios!AW$3</f>
        <v>0</v>
      </c>
      <c r="AY16" s="12">
        <f>+Precios!AX14*Precios!AX$3</f>
        <v>0</v>
      </c>
      <c r="AZ16" s="12">
        <f>+Precios!AY14*Precios!AY$3</f>
        <v>0</v>
      </c>
      <c r="BA16" s="12">
        <f>+Precios!AZ14*Precios!AZ$3</f>
        <v>0</v>
      </c>
      <c r="BB16" s="12">
        <f>+Precios!BA14*Precios!BA$3</f>
        <v>0</v>
      </c>
      <c r="BC16" s="12">
        <f>+Precios!BB14*Precios!BB$3</f>
        <v>0</v>
      </c>
      <c r="BD16" s="12">
        <f>+Precios!BC14*Precios!BC$3</f>
        <v>0</v>
      </c>
      <c r="BE16" s="12">
        <f>+Precios!BD14*Precios!BD$3</f>
        <v>0</v>
      </c>
      <c r="BF16" s="12">
        <f>+Precios!BE14*Precios!BE$3</f>
        <v>0</v>
      </c>
      <c r="BG16" s="12">
        <f>+Precios!BF14*Precios!BF$3</f>
        <v>0</v>
      </c>
      <c r="BH16" s="12">
        <f>+Precios!BG14*Precios!BG$3</f>
        <v>0</v>
      </c>
      <c r="BI16" s="12">
        <f>+Precios!BH14*Precios!BH$3</f>
        <v>0</v>
      </c>
      <c r="BJ16" s="12">
        <f>+Precios!BI14*Precios!BI$3</f>
        <v>0</v>
      </c>
      <c r="BK16" s="12">
        <f>+Precios!BJ14*Precios!BJ$3</f>
        <v>0</v>
      </c>
      <c r="BL16" s="12">
        <f>+Precios!BK14*Precios!BK$3</f>
        <v>0</v>
      </c>
      <c r="BM16" s="12">
        <f>+Precios!BL14*Precios!BL$3</f>
        <v>0</v>
      </c>
    </row>
    <row r="17" spans="1:65" ht="15" thickBot="1">
      <c r="A17" s="5">
        <f t="shared" si="0"/>
        <v>0</v>
      </c>
      <c r="B17" s="15">
        <f>+Precios!A15</f>
        <v>45993</v>
      </c>
      <c r="C17" s="12">
        <f t="shared" si="14"/>
        <v>0</v>
      </c>
      <c r="D17" s="12">
        <f>+Precios!C15*Precios!C$3</f>
        <v>0</v>
      </c>
      <c r="E17" s="12">
        <f>+Precios!D15*Precios!D$3</f>
        <v>0</v>
      </c>
      <c r="F17" s="12">
        <f>+Precios!E15*Precios!E$3</f>
        <v>0</v>
      </c>
      <c r="G17" s="12">
        <f>+Precios!F15*Precios!F$3</f>
        <v>0</v>
      </c>
      <c r="H17" s="12">
        <f>+Precios!G15*Precios!G$3</f>
        <v>0</v>
      </c>
      <c r="I17" s="12">
        <f t="shared" ref="I17:O17" si="27">+I16</f>
        <v>0</v>
      </c>
      <c r="J17" s="12">
        <f t="shared" si="27"/>
        <v>0</v>
      </c>
      <c r="K17" s="12">
        <f t="shared" si="27"/>
        <v>0</v>
      </c>
      <c r="L17" s="12">
        <f t="shared" si="27"/>
        <v>0</v>
      </c>
      <c r="M17" s="12">
        <f t="shared" si="27"/>
        <v>0</v>
      </c>
      <c r="N17" s="12">
        <f t="shared" si="27"/>
        <v>0</v>
      </c>
      <c r="O17" s="12">
        <f t="shared" si="27"/>
        <v>0</v>
      </c>
      <c r="P17" s="12">
        <f>+Precios!O15*Precios!O$3</f>
        <v>0</v>
      </c>
      <c r="Q17" s="12">
        <f>+Precios!P15*Precios!P$3</f>
        <v>0</v>
      </c>
      <c r="R17" s="12">
        <f t="shared" ref="R17:S17" si="28">+R16</f>
        <v>0</v>
      </c>
      <c r="S17" s="12">
        <f t="shared" si="28"/>
        <v>0</v>
      </c>
      <c r="T17" s="12">
        <f>+Precios!S15*Precios!S$3</f>
        <v>0</v>
      </c>
      <c r="U17" s="12">
        <f>+Precios!T15*Precios!T$3</f>
        <v>0</v>
      </c>
      <c r="V17" s="12">
        <f>+Precios!U15*Precios!U$3</f>
        <v>0</v>
      </c>
      <c r="W17" s="12">
        <f>+Precios!V15*Precios!V$3</f>
        <v>0</v>
      </c>
      <c r="X17" s="12">
        <f>+Precios!W15*Precios!W$3</f>
        <v>0</v>
      </c>
      <c r="Y17" s="12">
        <f>+Precios!X15*Precios!X$3</f>
        <v>0</v>
      </c>
      <c r="Z17" s="12">
        <f>+Precios!Y15*Precios!Y$3</f>
        <v>0</v>
      </c>
      <c r="AA17" s="12">
        <f>+Precios!Z15*Precios!Z$3</f>
        <v>0</v>
      </c>
      <c r="AB17" s="12">
        <f t="shared" ref="AB17:AD17" si="29">+AB16</f>
        <v>0</v>
      </c>
      <c r="AC17" s="12">
        <f t="shared" si="29"/>
        <v>0</v>
      </c>
      <c r="AD17" s="12">
        <f t="shared" si="29"/>
        <v>0</v>
      </c>
      <c r="AE17" s="12">
        <f>+Precios!AD15*Precios!AD$3</f>
        <v>0</v>
      </c>
      <c r="AF17" s="12">
        <f>+Precios!AE15*Precios!AE$3</f>
        <v>0</v>
      </c>
      <c r="AG17" s="12">
        <f>+Precios!AF15*Precios!AF$3</f>
        <v>0</v>
      </c>
      <c r="AH17" s="12">
        <f>+Precios!AG15*Precios!AG$3</f>
        <v>0</v>
      </c>
      <c r="AI17" s="12">
        <f>+Precios!AH15*Precios!AH$3</f>
        <v>0</v>
      </c>
      <c r="AJ17" s="12">
        <f>+Precios!AI15*Precios!AI$3</f>
        <v>0</v>
      </c>
      <c r="AK17" s="12">
        <f>+Precios!AJ15*Precios!AJ$3</f>
        <v>0</v>
      </c>
      <c r="AL17" s="12">
        <f>+Precios!AK15*Precios!AK$3</f>
        <v>0</v>
      </c>
      <c r="AM17" s="12">
        <f>+Precios!AL15*Precios!AL$3</f>
        <v>0</v>
      </c>
      <c r="AN17" s="12"/>
      <c r="AO17" s="12"/>
      <c r="AP17" s="12">
        <f>+Precios!AO15*Precios!AO$3</f>
        <v>0</v>
      </c>
      <c r="AQ17" s="12">
        <f>+Precios!AP15*Precios!AP$3</f>
        <v>0</v>
      </c>
      <c r="AR17" s="12">
        <f>+Precios!AQ15*Precios!AQ$3</f>
        <v>0</v>
      </c>
      <c r="AS17" s="12">
        <f>+Precios!AR15*Precios!AR$3</f>
        <v>0</v>
      </c>
      <c r="AT17" s="12">
        <f>+Precios!AS15*Precios!AS$3</f>
        <v>0</v>
      </c>
      <c r="AU17" s="12">
        <f>+Precios!AT15*Precios!AT$3</f>
        <v>0</v>
      </c>
      <c r="AV17" s="12"/>
      <c r="AW17" s="12">
        <f>+Precios!AV15*Precios!AV$3</f>
        <v>0</v>
      </c>
      <c r="AX17" s="12">
        <f>+Precios!AW15*Precios!AW$3</f>
        <v>0</v>
      </c>
      <c r="AY17" s="12">
        <f>+Precios!AX15*Precios!AX$3</f>
        <v>0</v>
      </c>
      <c r="AZ17" s="12">
        <f>+Precios!AY15*Precios!AY$3</f>
        <v>0</v>
      </c>
      <c r="BA17" s="12">
        <f>+Precios!AZ15*Precios!AZ$3</f>
        <v>0</v>
      </c>
      <c r="BB17" s="12">
        <f>+Precios!BA15*Precios!BA$3</f>
        <v>0</v>
      </c>
      <c r="BC17" s="12">
        <f>+Precios!BB15*Precios!BB$3</f>
        <v>0</v>
      </c>
      <c r="BD17" s="12">
        <f>+Precios!BC15*Precios!BC$3</f>
        <v>0</v>
      </c>
      <c r="BE17" s="12">
        <f>+Precios!BD15*Precios!BD$3</f>
        <v>0</v>
      </c>
      <c r="BF17" s="12">
        <f>+Precios!BE15*Precios!BE$3</f>
        <v>0</v>
      </c>
      <c r="BG17" s="12">
        <f>+Precios!BF15*Precios!BF$3</f>
        <v>0</v>
      </c>
      <c r="BH17" s="12">
        <f>+Precios!BG15*Precios!BG$3</f>
        <v>0</v>
      </c>
      <c r="BI17" s="12">
        <f>+Precios!BH15*Precios!BH$3</f>
        <v>0</v>
      </c>
      <c r="BJ17" s="12">
        <f>+Precios!BI15*Precios!BI$3</f>
        <v>0</v>
      </c>
      <c r="BK17" s="12">
        <f>+Precios!BJ15*Precios!BJ$3</f>
        <v>0</v>
      </c>
      <c r="BL17" s="12">
        <f>+Precios!BK15*Precios!BK$3</f>
        <v>0</v>
      </c>
      <c r="BM17" s="12">
        <f>+Precios!BL15*Precios!BL$3</f>
        <v>0</v>
      </c>
    </row>
    <row r="18" spans="1:65" ht="15" thickBot="1">
      <c r="A18" s="5">
        <f t="shared" si="0"/>
        <v>0</v>
      </c>
      <c r="B18" s="15">
        <f>+Precios!A16</f>
        <v>45994</v>
      </c>
      <c r="C18" s="12">
        <f t="shared" si="14"/>
        <v>0</v>
      </c>
      <c r="D18" s="12">
        <f>+D17</f>
        <v>0</v>
      </c>
      <c r="E18" s="12">
        <f>+Precios!D16*Precios!D$3</f>
        <v>0</v>
      </c>
      <c r="F18" s="12">
        <f>+Precios!E16*Precios!E$3</f>
        <v>0</v>
      </c>
      <c r="G18" s="12">
        <f>+Precios!F16*Precios!F$3</f>
        <v>0</v>
      </c>
      <c r="H18" s="12">
        <f>+Precios!G16*Precios!G$3</f>
        <v>0</v>
      </c>
      <c r="I18" s="12">
        <f t="shared" ref="I18:O18" si="30">+I17</f>
        <v>0</v>
      </c>
      <c r="J18" s="12">
        <f t="shared" si="30"/>
        <v>0</v>
      </c>
      <c r="K18" s="12">
        <f t="shared" si="30"/>
        <v>0</v>
      </c>
      <c r="L18" s="12">
        <f t="shared" si="30"/>
        <v>0</v>
      </c>
      <c r="M18" s="12">
        <f t="shared" si="30"/>
        <v>0</v>
      </c>
      <c r="N18" s="12">
        <f t="shared" si="30"/>
        <v>0</v>
      </c>
      <c r="O18" s="12">
        <f t="shared" si="30"/>
        <v>0</v>
      </c>
      <c r="P18" s="12">
        <f>+Precios!O16*Precios!O$3</f>
        <v>0</v>
      </c>
      <c r="Q18" s="12">
        <f>+Precios!P16*Precios!P$3</f>
        <v>0</v>
      </c>
      <c r="R18" s="12">
        <f t="shared" ref="R18:S18" si="31">+R17</f>
        <v>0</v>
      </c>
      <c r="S18" s="12">
        <f t="shared" si="31"/>
        <v>0</v>
      </c>
      <c r="T18" s="12">
        <f>+Precios!S16*Precios!S$3</f>
        <v>0</v>
      </c>
      <c r="U18" s="12">
        <f>+Precios!T16*Precios!T$3</f>
        <v>0</v>
      </c>
      <c r="V18" s="12">
        <f>+Precios!U16*Precios!U$3</f>
        <v>0</v>
      </c>
      <c r="W18" s="12">
        <f>+Precios!V16*Precios!V$3</f>
        <v>0</v>
      </c>
      <c r="X18" s="12">
        <f>+Precios!W16*Precios!W$3</f>
        <v>0</v>
      </c>
      <c r="Y18" s="12">
        <f>+Precios!X16*Precios!X$3</f>
        <v>0</v>
      </c>
      <c r="Z18" s="12">
        <f>+Precios!Y16*Precios!Y$3</f>
        <v>0</v>
      </c>
      <c r="AA18" s="12">
        <f>+Precios!Z16*Precios!Z$3</f>
        <v>0</v>
      </c>
      <c r="AB18" s="12">
        <f t="shared" ref="AB18:AD18" si="32">+AB17</f>
        <v>0</v>
      </c>
      <c r="AC18" s="12">
        <f t="shared" si="32"/>
        <v>0</v>
      </c>
      <c r="AD18" s="12">
        <f t="shared" si="32"/>
        <v>0</v>
      </c>
      <c r="AE18" s="12">
        <f>+Precios!AD16*Precios!AD$3</f>
        <v>0</v>
      </c>
      <c r="AF18" s="12">
        <f>+Precios!AE16*Precios!AE$3</f>
        <v>0</v>
      </c>
      <c r="AG18" s="12">
        <f>+Precios!AF16*Precios!AF$3</f>
        <v>0</v>
      </c>
      <c r="AH18" s="12">
        <f>+Precios!AG16*Precios!AG$3</f>
        <v>0</v>
      </c>
      <c r="AI18" s="12">
        <f>+Precios!AH16*Precios!AH$3</f>
        <v>0</v>
      </c>
      <c r="AJ18" s="12">
        <f>+Precios!AI16*Precios!AI$3</f>
        <v>0</v>
      </c>
      <c r="AK18" s="12">
        <f>+Precios!AJ16*Precios!AJ$3</f>
        <v>0</v>
      </c>
      <c r="AL18" s="12">
        <f>+Precios!AK16*Precios!AK$3</f>
        <v>0</v>
      </c>
      <c r="AM18" s="12">
        <f>+Precios!AL16*Precios!AL$3</f>
        <v>0</v>
      </c>
      <c r="AN18" s="12"/>
      <c r="AO18" s="12"/>
      <c r="AP18" s="12">
        <f>+Precios!AO16*Precios!AO$3</f>
        <v>0</v>
      </c>
      <c r="AQ18" s="12">
        <f>+Precios!AP16*Precios!AP$3</f>
        <v>0</v>
      </c>
      <c r="AR18" s="12">
        <f>+Precios!AQ16*Precios!AQ$3</f>
        <v>0</v>
      </c>
      <c r="AS18" s="12">
        <f>+Precios!AR16*Precios!AR$3</f>
        <v>0</v>
      </c>
      <c r="AT18" s="12">
        <f>+Precios!AS16*Precios!AS$3</f>
        <v>0</v>
      </c>
      <c r="AU18" s="12">
        <f>+Precios!AT16*Precios!AT$3</f>
        <v>0</v>
      </c>
      <c r="AV18" s="12"/>
      <c r="AW18" s="12">
        <f>+Precios!AV16*Precios!AV$3</f>
        <v>0</v>
      </c>
      <c r="AX18" s="12">
        <f>+Precios!AW16*Precios!AW$3</f>
        <v>0</v>
      </c>
      <c r="AY18" s="12">
        <f>+Precios!AX16*Precios!AX$3</f>
        <v>0</v>
      </c>
      <c r="AZ18" s="12">
        <f>+Precios!AY16*Precios!AY$3</f>
        <v>0</v>
      </c>
      <c r="BA18" s="12">
        <f>+Precios!AZ16*Precios!AZ$3</f>
        <v>0</v>
      </c>
      <c r="BB18" s="12">
        <f>+Precios!BA16*Precios!BA$3</f>
        <v>0</v>
      </c>
      <c r="BC18" s="12">
        <f>+Precios!BB16*Precios!BB$3</f>
        <v>0</v>
      </c>
      <c r="BD18" s="12">
        <f>+Precios!BC16*Precios!BC$3</f>
        <v>0</v>
      </c>
      <c r="BE18" s="12">
        <f>+Precios!BD16*Precios!BD$3</f>
        <v>0</v>
      </c>
      <c r="BF18" s="12">
        <f>+Precios!BE16*Precios!BE$3</f>
        <v>0</v>
      </c>
      <c r="BG18" s="12">
        <f>+Precios!BF16*Precios!BF$3</f>
        <v>0</v>
      </c>
      <c r="BH18" s="12">
        <f>+Precios!BG16*Precios!BG$3</f>
        <v>0</v>
      </c>
      <c r="BI18" s="12">
        <f>+Precios!BH16*Precios!BH$3</f>
        <v>0</v>
      </c>
      <c r="BJ18" s="12">
        <f>+Precios!BI16*Precios!BI$3</f>
        <v>0</v>
      </c>
      <c r="BK18" s="12">
        <f>+Precios!BJ16*Precios!BJ$3</f>
        <v>0</v>
      </c>
      <c r="BL18" s="12">
        <f>+Precios!BK16*Precios!BK$3</f>
        <v>0</v>
      </c>
      <c r="BM18" s="12">
        <f>+Precios!BL16*Precios!BL$3</f>
        <v>0</v>
      </c>
    </row>
    <row r="19" spans="1:65" ht="15" thickBot="1">
      <c r="A19" s="5">
        <f t="shared" si="0"/>
        <v>0</v>
      </c>
      <c r="B19" s="15">
        <f>+Precios!A17</f>
        <v>45995</v>
      </c>
      <c r="C19" s="12">
        <f t="shared" si="14"/>
        <v>0</v>
      </c>
      <c r="D19" s="12">
        <f>+D18</f>
        <v>0</v>
      </c>
      <c r="E19" s="12">
        <f>+Precios!D17*Precios!D$3</f>
        <v>0</v>
      </c>
      <c r="F19" s="12">
        <f>+Precios!E17*Precios!E$3</f>
        <v>0</v>
      </c>
      <c r="G19" s="12">
        <f>+Precios!F17*Precios!F$3</f>
        <v>0</v>
      </c>
      <c r="H19" s="12">
        <f>+Precios!G17*Precios!G$3</f>
        <v>0</v>
      </c>
      <c r="I19" s="12">
        <f t="shared" ref="I19:O19" si="33">+I18</f>
        <v>0</v>
      </c>
      <c r="J19" s="12">
        <f t="shared" si="33"/>
        <v>0</v>
      </c>
      <c r="K19" s="12">
        <f t="shared" si="33"/>
        <v>0</v>
      </c>
      <c r="L19" s="12">
        <f t="shared" si="33"/>
        <v>0</v>
      </c>
      <c r="M19" s="12">
        <f t="shared" si="33"/>
        <v>0</v>
      </c>
      <c r="N19" s="12">
        <f t="shared" si="33"/>
        <v>0</v>
      </c>
      <c r="O19" s="12">
        <f t="shared" si="33"/>
        <v>0</v>
      </c>
      <c r="P19" s="12">
        <f>+Precios!O17*Precios!O$3</f>
        <v>0</v>
      </c>
      <c r="Q19" s="12">
        <f>+Precios!P17*Precios!P$3</f>
        <v>0</v>
      </c>
      <c r="R19" s="12">
        <f t="shared" ref="R19:S19" si="34">+R18</f>
        <v>0</v>
      </c>
      <c r="S19" s="12">
        <f t="shared" si="34"/>
        <v>0</v>
      </c>
      <c r="T19" s="12">
        <f>+Precios!S17*Precios!S$3</f>
        <v>0</v>
      </c>
      <c r="U19" s="12">
        <f>+Precios!T17*Precios!T$3</f>
        <v>0</v>
      </c>
      <c r="V19" s="12">
        <f>+Precios!U17*Precios!U$3</f>
        <v>0</v>
      </c>
      <c r="W19" s="12">
        <f>+Precios!V17*Precios!V$3</f>
        <v>0</v>
      </c>
      <c r="X19" s="12">
        <f>+Precios!W17*Precios!W$3</f>
        <v>0</v>
      </c>
      <c r="Y19" s="12">
        <f>+Precios!X17*Precios!X$3</f>
        <v>0</v>
      </c>
      <c r="Z19" s="12">
        <f>+Precios!Y17*Precios!Y$3</f>
        <v>0</v>
      </c>
      <c r="AA19" s="12">
        <f>+Precios!Z17*Precios!Z$3</f>
        <v>0</v>
      </c>
      <c r="AB19" s="12">
        <f t="shared" ref="AB19:AD19" si="35">+AB18</f>
        <v>0</v>
      </c>
      <c r="AC19" s="12">
        <f t="shared" si="35"/>
        <v>0</v>
      </c>
      <c r="AD19" s="12">
        <f t="shared" si="35"/>
        <v>0</v>
      </c>
      <c r="AE19" s="12">
        <f>+Precios!AD17*Precios!AD$3</f>
        <v>0</v>
      </c>
      <c r="AF19" s="12">
        <f>+Precios!AE17*Precios!AE$3</f>
        <v>0</v>
      </c>
      <c r="AG19" s="12">
        <f>+Precios!AF17*Precios!AF$3</f>
        <v>0</v>
      </c>
      <c r="AH19" s="12">
        <f>+Precios!AG17*Precios!AG$3</f>
        <v>0</v>
      </c>
      <c r="AI19" s="12">
        <f>+Precios!AH17*Precios!AH$3</f>
        <v>0</v>
      </c>
      <c r="AJ19" s="12">
        <f>+Precios!AI17*Precios!AI$3</f>
        <v>0</v>
      </c>
      <c r="AK19" s="12">
        <f>+Precios!AJ17*Precios!AJ$3</f>
        <v>0</v>
      </c>
      <c r="AL19" s="12">
        <f>+Precios!AK17*Precios!AK$3</f>
        <v>0</v>
      </c>
      <c r="AM19" s="12">
        <f>+Precios!AL17*Precios!AL$3</f>
        <v>0</v>
      </c>
      <c r="AN19" s="12"/>
      <c r="AO19" s="12"/>
      <c r="AP19" s="12">
        <f>+Precios!AO17*Precios!AO$3</f>
        <v>0</v>
      </c>
      <c r="AQ19" s="12">
        <f>+Precios!AP17*Precios!AP$3</f>
        <v>0</v>
      </c>
      <c r="AR19" s="12">
        <f>+Precios!AQ17*Precios!AQ$3</f>
        <v>0</v>
      </c>
      <c r="AS19" s="12">
        <f>+Precios!AR17*Precios!AR$3</f>
        <v>0</v>
      </c>
      <c r="AT19" s="12">
        <f>+Precios!AS17*Precios!AS$3</f>
        <v>0</v>
      </c>
      <c r="AU19" s="12">
        <f>+Precios!AT17*Precios!AT$3</f>
        <v>0</v>
      </c>
      <c r="AV19" s="12"/>
      <c r="AW19" s="12">
        <f>+Precios!AV17*Precios!AV$3</f>
        <v>0</v>
      </c>
      <c r="AX19" s="12">
        <f>+Precios!AW17*Precios!AW$3</f>
        <v>0</v>
      </c>
      <c r="AY19" s="12">
        <f>+Precios!AX17*Precios!AX$3</f>
        <v>0</v>
      </c>
      <c r="AZ19" s="12">
        <f>+Precios!AY17*Precios!AY$3</f>
        <v>0</v>
      </c>
      <c r="BA19" s="12">
        <f>+Precios!AZ17*Precios!AZ$3</f>
        <v>0</v>
      </c>
      <c r="BB19" s="12">
        <f>+Precios!BA17*Precios!BA$3</f>
        <v>0</v>
      </c>
      <c r="BC19" s="12">
        <f>+Precios!BB17*Precios!BB$3</f>
        <v>0</v>
      </c>
      <c r="BD19" s="12">
        <f>+Precios!BC17*Precios!BC$3</f>
        <v>0</v>
      </c>
      <c r="BE19" s="12">
        <f>+Precios!BD17*Precios!BD$3</f>
        <v>0</v>
      </c>
      <c r="BF19" s="12">
        <f>+Precios!BE17*Precios!BE$3</f>
        <v>0</v>
      </c>
      <c r="BG19" s="12">
        <f>+Precios!BF17*Precios!BF$3</f>
        <v>0</v>
      </c>
      <c r="BH19" s="12">
        <f>+Precios!BG17*Precios!BG$3</f>
        <v>0</v>
      </c>
      <c r="BI19" s="12">
        <f>+Precios!BH17*Precios!BH$3</f>
        <v>0</v>
      </c>
      <c r="BJ19" s="12">
        <f>+Precios!BI17*Precios!BI$3</f>
        <v>0</v>
      </c>
      <c r="BK19" s="12">
        <f>+Precios!BJ17*Precios!BJ$3</f>
        <v>0</v>
      </c>
      <c r="BL19" s="12">
        <f>+Precios!BK17*Precios!BK$3</f>
        <v>0</v>
      </c>
      <c r="BM19" s="12">
        <f>+Precios!BL17*Precios!BL$3</f>
        <v>0</v>
      </c>
    </row>
    <row r="20" spans="1:65" ht="15" thickBot="1">
      <c r="A20" s="5">
        <f t="shared" si="0"/>
        <v>0</v>
      </c>
      <c r="B20" s="15">
        <f>+Precios!A18</f>
        <v>45996</v>
      </c>
      <c r="C20" s="12">
        <f>+Precios!B18*Precios!B$3</f>
        <v>0</v>
      </c>
      <c r="D20" s="12">
        <f>+Precios!C18*Precios!C$3</f>
        <v>0</v>
      </c>
      <c r="E20" s="12">
        <f>+Precios!D18*Precios!D$3</f>
        <v>0</v>
      </c>
      <c r="F20" s="12">
        <f>+Precios!E18*Precios!E$3</f>
        <v>0</v>
      </c>
      <c r="G20" s="12">
        <f>+Precios!F18*Precios!F$3</f>
        <v>0</v>
      </c>
      <c r="H20" s="12">
        <f>+Precios!G18*Precios!G$3</f>
        <v>0</v>
      </c>
      <c r="I20" s="12">
        <f t="shared" ref="I20:O20" si="36">+I19</f>
        <v>0</v>
      </c>
      <c r="J20" s="12">
        <f t="shared" si="36"/>
        <v>0</v>
      </c>
      <c r="K20" s="12">
        <f t="shared" si="36"/>
        <v>0</v>
      </c>
      <c r="L20" s="12">
        <f t="shared" si="36"/>
        <v>0</v>
      </c>
      <c r="M20" s="12">
        <f t="shared" si="36"/>
        <v>0</v>
      </c>
      <c r="N20" s="12">
        <f t="shared" si="36"/>
        <v>0</v>
      </c>
      <c r="O20" s="12">
        <f t="shared" si="36"/>
        <v>0</v>
      </c>
      <c r="P20" s="12">
        <f>+Precios!O18*Precios!O$3</f>
        <v>0</v>
      </c>
      <c r="Q20" s="12">
        <f>+Precios!P18*Precios!P$3</f>
        <v>0</v>
      </c>
      <c r="R20" s="12">
        <f t="shared" ref="R20:S20" si="37">+R19</f>
        <v>0</v>
      </c>
      <c r="S20" s="12">
        <f t="shared" si="37"/>
        <v>0</v>
      </c>
      <c r="T20" s="12">
        <f>+Precios!S18*Precios!S$3</f>
        <v>0</v>
      </c>
      <c r="U20" s="12">
        <f>+Precios!T18*Precios!T$3</f>
        <v>0</v>
      </c>
      <c r="V20" s="12">
        <f>+Precios!U18*Precios!U$3</f>
        <v>0</v>
      </c>
      <c r="W20" s="12">
        <f>+Precios!V18*Precios!V$3</f>
        <v>0</v>
      </c>
      <c r="X20" s="12">
        <f>+Precios!W18*Precios!W$3</f>
        <v>0</v>
      </c>
      <c r="Y20" s="12">
        <f>+Precios!X18*Precios!X$3</f>
        <v>0</v>
      </c>
      <c r="Z20" s="12">
        <f>+Precios!Y18*Precios!Y$3</f>
        <v>0</v>
      </c>
      <c r="AA20" s="12">
        <f>+Precios!Z18*Precios!Z$3</f>
        <v>0</v>
      </c>
      <c r="AB20" s="12">
        <f t="shared" ref="AB20:AD20" si="38">+AB19</f>
        <v>0</v>
      </c>
      <c r="AC20" s="12">
        <f t="shared" si="38"/>
        <v>0</v>
      </c>
      <c r="AD20" s="12">
        <f t="shared" si="38"/>
        <v>0</v>
      </c>
      <c r="AE20" s="12">
        <f>+Precios!AD18*Precios!AD$3</f>
        <v>0</v>
      </c>
      <c r="AF20" s="12">
        <f>+Precios!AE18*Precios!AE$3</f>
        <v>0</v>
      </c>
      <c r="AG20" s="12">
        <f>+Precios!AF18*Precios!AF$3</f>
        <v>0</v>
      </c>
      <c r="AH20" s="12">
        <f>+Precios!AG18*Precios!AG$3</f>
        <v>0</v>
      </c>
      <c r="AI20" s="12">
        <f>+Precios!AH18*Precios!AH$3</f>
        <v>0</v>
      </c>
      <c r="AJ20" s="12">
        <f>+Precios!AI18*Precios!AI$3</f>
        <v>0</v>
      </c>
      <c r="AK20" s="12">
        <f>+Precios!AJ18*Precios!AJ$3</f>
        <v>0</v>
      </c>
      <c r="AL20" s="12">
        <f>+Precios!AK18*Precios!AK$3</f>
        <v>0</v>
      </c>
      <c r="AM20" s="12">
        <f>+Precios!AL18*Precios!AL$3</f>
        <v>0</v>
      </c>
      <c r="AN20" s="12"/>
      <c r="AO20" s="12"/>
      <c r="AP20" s="12">
        <f>+Precios!AO18*Precios!AO$3</f>
        <v>0</v>
      </c>
      <c r="AQ20" s="12">
        <f>+Precios!AP18*Precios!AP$3</f>
        <v>0</v>
      </c>
      <c r="AR20" s="12">
        <f>+Precios!AQ18*Precios!AQ$3</f>
        <v>0</v>
      </c>
      <c r="AS20" s="12">
        <f>+Precios!AR18*Precios!AR$3</f>
        <v>0</v>
      </c>
      <c r="AT20" s="12">
        <f>+Precios!AS18*Precios!AS$3</f>
        <v>0</v>
      </c>
      <c r="AU20" s="12">
        <f>+Precios!AT18*Precios!AT$3</f>
        <v>0</v>
      </c>
      <c r="AV20" s="12"/>
      <c r="AW20" s="12">
        <f>+Precios!AV18*Precios!AV$3</f>
        <v>0</v>
      </c>
      <c r="AX20" s="12">
        <f>+Precios!AW18*Precios!AW$3</f>
        <v>0</v>
      </c>
      <c r="AY20" s="12">
        <f>+Precios!AX18*Precios!AX$3</f>
        <v>0</v>
      </c>
      <c r="AZ20" s="12">
        <f>+Precios!AY18*Precios!AY$3</f>
        <v>0</v>
      </c>
      <c r="BA20" s="12">
        <f>+Precios!AZ18*Precios!AZ$3</f>
        <v>0</v>
      </c>
      <c r="BB20" s="12">
        <f>+Precios!BA18*Precios!BA$3</f>
        <v>0</v>
      </c>
      <c r="BC20" s="12">
        <f>+Precios!BB18*Precios!BB$3</f>
        <v>0</v>
      </c>
      <c r="BD20" s="12">
        <f>+Precios!BC18*Precios!BC$3</f>
        <v>0</v>
      </c>
      <c r="BE20" s="12">
        <f>+Precios!BD18*Precios!BD$3</f>
        <v>0</v>
      </c>
      <c r="BF20" s="12">
        <f>+Precios!BE18*Precios!BE$3</f>
        <v>0</v>
      </c>
      <c r="BG20" s="12">
        <f>+Precios!BF18*Precios!BF$3</f>
        <v>0</v>
      </c>
      <c r="BH20" s="12">
        <f>+Precios!BG18*Precios!BG$3</f>
        <v>0</v>
      </c>
      <c r="BI20" s="12">
        <f>+Precios!BH18*Precios!BH$3</f>
        <v>0</v>
      </c>
      <c r="BJ20" s="12">
        <f>+Precios!BI18*Precios!BI$3</f>
        <v>0</v>
      </c>
      <c r="BK20" s="12">
        <f>+Precios!BJ18*Precios!BJ$3</f>
        <v>0</v>
      </c>
      <c r="BL20" s="12">
        <f>+Precios!BK18*Precios!BK$3</f>
        <v>0</v>
      </c>
      <c r="BM20" s="12">
        <f>+Precios!BL18*Precios!BL$3</f>
        <v>0</v>
      </c>
    </row>
    <row r="21" spans="1:65" ht="15" thickBot="1">
      <c r="A21" s="5">
        <f t="shared" si="0"/>
        <v>0</v>
      </c>
      <c r="B21" s="15">
        <f>+Precios!A19</f>
        <v>45999</v>
      </c>
      <c r="C21" s="12">
        <f>+Precios!B19*Precios!B$3</f>
        <v>0</v>
      </c>
      <c r="D21" s="12">
        <f>+Precios!C19*Precios!C$3</f>
        <v>0</v>
      </c>
      <c r="E21" s="12">
        <f>+Precios!D19*Precios!D$3</f>
        <v>0</v>
      </c>
      <c r="F21" s="12">
        <f>+Precios!E19*Precios!E$3</f>
        <v>0</v>
      </c>
      <c r="G21" s="12">
        <f>+Precios!F19*Precios!F$3</f>
        <v>0</v>
      </c>
      <c r="H21" s="12">
        <f>+Precios!G19*Precios!G$3</f>
        <v>0</v>
      </c>
      <c r="I21" s="12">
        <f t="shared" ref="I21:O21" si="39">+I20</f>
        <v>0</v>
      </c>
      <c r="J21" s="12">
        <f t="shared" si="39"/>
        <v>0</v>
      </c>
      <c r="K21" s="12">
        <f t="shared" si="39"/>
        <v>0</v>
      </c>
      <c r="L21" s="12">
        <f t="shared" si="39"/>
        <v>0</v>
      </c>
      <c r="M21" s="12">
        <f t="shared" si="39"/>
        <v>0</v>
      </c>
      <c r="N21" s="12">
        <f t="shared" si="39"/>
        <v>0</v>
      </c>
      <c r="O21" s="12">
        <f t="shared" si="39"/>
        <v>0</v>
      </c>
      <c r="P21" s="12">
        <f>+Precios!O19*Precios!O$3</f>
        <v>0</v>
      </c>
      <c r="Q21" s="12">
        <f>+Precios!P19*Precios!P$3</f>
        <v>0</v>
      </c>
      <c r="R21" s="12">
        <f t="shared" ref="R21:S21" si="40">+R20</f>
        <v>0</v>
      </c>
      <c r="S21" s="12">
        <f t="shared" si="40"/>
        <v>0</v>
      </c>
      <c r="T21" s="12">
        <f>+Precios!S19*Precios!S$3</f>
        <v>0</v>
      </c>
      <c r="U21" s="12">
        <f>+Precios!T19*Precios!T$3</f>
        <v>0</v>
      </c>
      <c r="V21" s="12">
        <f>+Precios!U19*Precios!U$3</f>
        <v>0</v>
      </c>
      <c r="W21" s="12">
        <f>+Precios!V19*Precios!V$3</f>
        <v>0</v>
      </c>
      <c r="X21" s="12">
        <f>+Precios!W19*Precios!W$3</f>
        <v>0</v>
      </c>
      <c r="Y21" s="12">
        <f>+Precios!X19*Precios!X$3</f>
        <v>0</v>
      </c>
      <c r="Z21" s="12">
        <f>+Precios!Y19*Precios!Y$3</f>
        <v>0</v>
      </c>
      <c r="AA21" s="12">
        <f>+Precios!Z19*Precios!Z$3</f>
        <v>0</v>
      </c>
      <c r="AB21" s="12">
        <f t="shared" ref="AB21:AD21" si="41">+AB20</f>
        <v>0</v>
      </c>
      <c r="AC21" s="12">
        <f t="shared" si="41"/>
        <v>0</v>
      </c>
      <c r="AD21" s="12">
        <f t="shared" si="41"/>
        <v>0</v>
      </c>
      <c r="AE21" s="12">
        <f>+Precios!AD19*Precios!AD$3</f>
        <v>0</v>
      </c>
      <c r="AF21" s="12">
        <f>+Precios!AE19*Precios!AE$3</f>
        <v>0</v>
      </c>
      <c r="AG21" s="12">
        <f>+Precios!AF19*Precios!AF$3</f>
        <v>0</v>
      </c>
      <c r="AH21" s="12">
        <f>+Precios!AG19*Precios!AG$3</f>
        <v>0</v>
      </c>
      <c r="AI21" s="12">
        <f>+Precios!AH19*Precios!AH$3</f>
        <v>0</v>
      </c>
      <c r="AJ21" s="12">
        <f>+Precios!AI19*Precios!AI$3</f>
        <v>0</v>
      </c>
      <c r="AK21" s="12">
        <f>+Precios!AJ19*Precios!AJ$3</f>
        <v>0</v>
      </c>
      <c r="AL21" s="12">
        <f>+Precios!AK19*Precios!AK$3</f>
        <v>0</v>
      </c>
      <c r="AM21" s="12">
        <f>+Precios!AL19*Precios!AL$3</f>
        <v>0</v>
      </c>
      <c r="AN21" s="12"/>
      <c r="AO21" s="12"/>
      <c r="AP21" s="12">
        <f>+Precios!AO19*Precios!AO$3</f>
        <v>0</v>
      </c>
      <c r="AQ21" s="12">
        <f>+Precios!AP19*Precios!AP$3</f>
        <v>0</v>
      </c>
      <c r="AR21" s="12">
        <f>+Precios!AQ19*Precios!AQ$3</f>
        <v>0</v>
      </c>
      <c r="AS21" s="12">
        <f>+Precios!AR19*Precios!AR$3</f>
        <v>0</v>
      </c>
      <c r="AT21" s="12">
        <f>+Precios!AS19*Precios!AS$3</f>
        <v>0</v>
      </c>
      <c r="AU21" s="12">
        <f>+Precios!AT19*Precios!AT$3</f>
        <v>0</v>
      </c>
      <c r="AV21" s="12"/>
      <c r="AW21" s="12">
        <f>+Precios!AV19*Precios!AV$3</f>
        <v>0</v>
      </c>
      <c r="AX21" s="12">
        <f>+Precios!AW19*Precios!AW$3</f>
        <v>0</v>
      </c>
      <c r="AY21" s="12">
        <f>+Precios!AX19*Precios!AX$3</f>
        <v>0</v>
      </c>
      <c r="AZ21" s="12">
        <f>+Precios!AY19*Precios!AY$3</f>
        <v>0</v>
      </c>
      <c r="BA21" s="12">
        <f>+Precios!AZ19*Precios!AZ$3</f>
        <v>0</v>
      </c>
      <c r="BB21" s="12">
        <f>+Precios!BA19*Precios!BA$3</f>
        <v>0</v>
      </c>
      <c r="BC21" s="12">
        <f>+Precios!BB19*Precios!BB$3</f>
        <v>0</v>
      </c>
      <c r="BD21" s="12">
        <f>+Precios!BC19*Precios!BC$3</f>
        <v>0</v>
      </c>
      <c r="BE21" s="12">
        <f>+Precios!BD19*Precios!BD$3</f>
        <v>0</v>
      </c>
      <c r="BF21" s="12">
        <f>+Precios!BE19*Precios!BE$3</f>
        <v>0</v>
      </c>
      <c r="BG21" s="12">
        <f>+Precios!BF19*Precios!BF$3</f>
        <v>0</v>
      </c>
      <c r="BH21" s="12">
        <f>+Precios!BG19*Precios!BG$3</f>
        <v>0</v>
      </c>
      <c r="BI21" s="12">
        <f>+Precios!BH19*Precios!BH$3</f>
        <v>0</v>
      </c>
      <c r="BJ21" s="12">
        <f>+Precios!BI19*Precios!BI$3</f>
        <v>0</v>
      </c>
      <c r="BK21" s="12">
        <f>+Precios!BJ19*Precios!BJ$3</f>
        <v>0</v>
      </c>
      <c r="BL21" s="12">
        <f>+Precios!BK19*Precios!BK$3</f>
        <v>0</v>
      </c>
      <c r="BM21" s="12">
        <f>+Precios!BL19*Precios!BL$3</f>
        <v>0</v>
      </c>
    </row>
    <row r="22" spans="1:65" ht="15" thickBot="1">
      <c r="A22" s="5">
        <f t="shared" si="0"/>
        <v>0</v>
      </c>
      <c r="B22" s="15">
        <f>+Precios!A20</f>
        <v>46000</v>
      </c>
      <c r="C22" s="12">
        <f>+Precios!B20*Precios!B$3</f>
        <v>0</v>
      </c>
      <c r="D22" s="12">
        <f>+Precios!C20*Precios!C$3</f>
        <v>0</v>
      </c>
      <c r="E22" s="12">
        <f>+Precios!D20*Precios!D$3</f>
        <v>0</v>
      </c>
      <c r="F22" s="12">
        <f>+Precios!E20*Precios!E$3</f>
        <v>0</v>
      </c>
      <c r="G22" s="12">
        <f>+Precios!F20*Precios!F$3</f>
        <v>0</v>
      </c>
      <c r="H22" s="12">
        <f>+Precios!G20*Precios!G$3</f>
        <v>0</v>
      </c>
      <c r="I22" s="12">
        <f t="shared" ref="I22:O22" si="42">+I21</f>
        <v>0</v>
      </c>
      <c r="J22" s="12">
        <f t="shared" si="42"/>
        <v>0</v>
      </c>
      <c r="K22" s="12">
        <f t="shared" si="42"/>
        <v>0</v>
      </c>
      <c r="L22" s="12">
        <f t="shared" si="42"/>
        <v>0</v>
      </c>
      <c r="M22" s="12">
        <f t="shared" si="42"/>
        <v>0</v>
      </c>
      <c r="N22" s="12">
        <f t="shared" si="42"/>
        <v>0</v>
      </c>
      <c r="O22" s="12">
        <f t="shared" si="42"/>
        <v>0</v>
      </c>
      <c r="P22" s="12">
        <f>+Precios!O20*Precios!O$3</f>
        <v>0</v>
      </c>
      <c r="Q22" s="12">
        <f>+Precios!P20*Precios!P$3</f>
        <v>0</v>
      </c>
      <c r="R22" s="12">
        <f t="shared" ref="R22:S22" si="43">+R21</f>
        <v>0</v>
      </c>
      <c r="S22" s="12">
        <f t="shared" si="43"/>
        <v>0</v>
      </c>
      <c r="T22" s="12">
        <f>+Precios!S20*Precios!S$3</f>
        <v>0</v>
      </c>
      <c r="U22" s="12">
        <f>+Precios!T20*Precios!T$3</f>
        <v>0</v>
      </c>
      <c r="V22" s="12">
        <f>+Precios!U20*Precios!U$3</f>
        <v>0</v>
      </c>
      <c r="W22" s="12">
        <f>+Precios!V20*Precios!V$3</f>
        <v>0</v>
      </c>
      <c r="X22" s="12">
        <f>+Precios!W20*Precios!W$3</f>
        <v>0</v>
      </c>
      <c r="Y22" s="12">
        <f>+Precios!X20*Precios!X$3</f>
        <v>0</v>
      </c>
      <c r="Z22" s="12">
        <f>+Precios!Y20*Precios!Y$3</f>
        <v>0</v>
      </c>
      <c r="AA22" s="12">
        <f>+Precios!Z20*Precios!Z$3</f>
        <v>0</v>
      </c>
      <c r="AB22" s="12">
        <f t="shared" ref="AB22:AD22" si="44">+AB21</f>
        <v>0</v>
      </c>
      <c r="AC22" s="12">
        <f t="shared" si="44"/>
        <v>0</v>
      </c>
      <c r="AD22" s="12">
        <f t="shared" si="44"/>
        <v>0</v>
      </c>
      <c r="AE22" s="12">
        <f>+Precios!AD20*Precios!AD$3</f>
        <v>0</v>
      </c>
      <c r="AF22" s="12">
        <f>+Precios!AE20*Precios!AE$3</f>
        <v>0</v>
      </c>
      <c r="AG22" s="12">
        <f>+Precios!AF20*Precios!AF$3</f>
        <v>0</v>
      </c>
      <c r="AH22" s="12">
        <f>+Precios!AG20*Precios!AG$3</f>
        <v>0</v>
      </c>
      <c r="AI22" s="12">
        <f>+Precios!AH20*Precios!AH$3</f>
        <v>0</v>
      </c>
      <c r="AJ22" s="12">
        <f>+Precios!AI20*Precios!AI$3</f>
        <v>0</v>
      </c>
      <c r="AK22" s="12">
        <f>+Precios!AJ20*Precios!AJ$3</f>
        <v>0</v>
      </c>
      <c r="AL22" s="12">
        <f>+Precios!AK20*Precios!AK$3</f>
        <v>0</v>
      </c>
      <c r="AM22" s="12">
        <f>+Precios!AL20*Precios!AL$3</f>
        <v>0</v>
      </c>
      <c r="AN22" s="12"/>
      <c r="AO22" s="12"/>
      <c r="AP22" s="12">
        <f>+Precios!AO20*Precios!AO$3</f>
        <v>0</v>
      </c>
      <c r="AQ22" s="12">
        <f>+Precios!AP20*Precios!AP$3</f>
        <v>0</v>
      </c>
      <c r="AR22" s="12">
        <f>+Precios!AQ20*Precios!AQ$3</f>
        <v>0</v>
      </c>
      <c r="AS22" s="12">
        <f>+Precios!AR20*Precios!AR$3</f>
        <v>0</v>
      </c>
      <c r="AT22" s="12">
        <f>+Precios!AS20*Precios!AS$3</f>
        <v>0</v>
      </c>
      <c r="AU22" s="12">
        <f>+Precios!AT20*Precios!AT$3</f>
        <v>0</v>
      </c>
      <c r="AV22" s="12"/>
      <c r="AW22" s="12">
        <f>+Precios!AV20*Precios!AV$3</f>
        <v>0</v>
      </c>
      <c r="AX22" s="12">
        <f>+Precios!AW20*Precios!AW$3</f>
        <v>0</v>
      </c>
      <c r="AY22" s="12">
        <f>+Precios!AX20*Precios!AX$3</f>
        <v>0</v>
      </c>
      <c r="AZ22" s="12">
        <f>+Precios!AY20*Precios!AY$3</f>
        <v>0</v>
      </c>
      <c r="BA22" s="12">
        <f>+Precios!AZ20*Precios!AZ$3</f>
        <v>0</v>
      </c>
      <c r="BB22" s="12">
        <f>+Precios!BA20*Precios!BA$3</f>
        <v>0</v>
      </c>
      <c r="BC22" s="12">
        <f>+Precios!BB20*Precios!BB$3</f>
        <v>0</v>
      </c>
      <c r="BD22" s="12">
        <f>+Precios!BC20*Precios!BC$3</f>
        <v>0</v>
      </c>
      <c r="BE22" s="12">
        <f>+Precios!BD20*Precios!BD$3</f>
        <v>0</v>
      </c>
      <c r="BF22" s="12">
        <f>+Precios!BE20*Precios!BE$3</f>
        <v>0</v>
      </c>
      <c r="BG22" s="12">
        <f>+Precios!BF20*Precios!BF$3</f>
        <v>0</v>
      </c>
      <c r="BH22" s="12">
        <f>+Precios!BG20*Precios!BG$3</f>
        <v>0</v>
      </c>
      <c r="BI22" s="12">
        <f>+Precios!BH20*Precios!BH$3</f>
        <v>0</v>
      </c>
      <c r="BJ22" s="12">
        <f>+Precios!BI20*Precios!BI$3</f>
        <v>0</v>
      </c>
      <c r="BK22" s="12">
        <f>+Precios!BJ20*Precios!BJ$3</f>
        <v>0</v>
      </c>
      <c r="BL22" s="12">
        <f>+Precios!BK20*Precios!BK$3</f>
        <v>0</v>
      </c>
      <c r="BM22" s="12">
        <f>+Precios!BL20*Precios!BL$3</f>
        <v>0</v>
      </c>
    </row>
    <row r="23" spans="1:65" ht="15" thickBot="1">
      <c r="A23" s="5">
        <f t="shared" si="0"/>
        <v>0</v>
      </c>
      <c r="B23" s="15">
        <f>+Precios!A21</f>
        <v>46001</v>
      </c>
      <c r="C23" s="12">
        <f>+Precios!B21*Precios!B$3</f>
        <v>0</v>
      </c>
      <c r="D23" s="12">
        <f>+Precios!C21*Precios!C$3</f>
        <v>0</v>
      </c>
      <c r="E23" s="12">
        <f>+Precios!D21*Precios!D$3</f>
        <v>0</v>
      </c>
      <c r="F23" s="12">
        <f>+Precios!E21*Precios!E$3</f>
        <v>0</v>
      </c>
      <c r="G23" s="12">
        <f>+Precios!F21*Precios!F$3</f>
        <v>0</v>
      </c>
      <c r="H23" s="12">
        <f t="shared" ref="H23:O25" si="45">+H22</f>
        <v>0</v>
      </c>
      <c r="I23" s="12">
        <f t="shared" si="45"/>
        <v>0</v>
      </c>
      <c r="J23" s="12">
        <f t="shared" si="45"/>
        <v>0</v>
      </c>
      <c r="K23" s="12">
        <f t="shared" si="45"/>
        <v>0</v>
      </c>
      <c r="L23" s="12">
        <f t="shared" si="45"/>
        <v>0</v>
      </c>
      <c r="M23" s="12">
        <f t="shared" si="45"/>
        <v>0</v>
      </c>
      <c r="N23" s="12">
        <f t="shared" si="45"/>
        <v>0</v>
      </c>
      <c r="O23" s="12">
        <f t="shared" si="45"/>
        <v>0</v>
      </c>
      <c r="P23" s="12">
        <f>+Precios!O21*Precios!O$3</f>
        <v>0</v>
      </c>
      <c r="Q23" s="12">
        <f>+Precios!P21*Precios!P$3</f>
        <v>0</v>
      </c>
      <c r="R23" s="12">
        <f t="shared" ref="R23:S23" si="46">+R22</f>
        <v>0</v>
      </c>
      <c r="S23" s="12">
        <f t="shared" si="46"/>
        <v>0</v>
      </c>
      <c r="T23" s="12">
        <f>+Precios!S21*Precios!S$3</f>
        <v>0</v>
      </c>
      <c r="U23" s="12">
        <f>+Precios!T21*Precios!T$3</f>
        <v>0</v>
      </c>
      <c r="V23" s="12">
        <f>+Precios!U21*Precios!U$3</f>
        <v>0</v>
      </c>
      <c r="W23" s="12">
        <f>+Precios!V21*Precios!V$3</f>
        <v>0</v>
      </c>
      <c r="X23" s="12">
        <f>+Precios!W21*Precios!W$3</f>
        <v>0</v>
      </c>
      <c r="Y23" s="12">
        <f>+Precios!X21*Precios!X$3</f>
        <v>0</v>
      </c>
      <c r="Z23" s="12">
        <f>+Precios!Y21*Precios!Y$3</f>
        <v>0</v>
      </c>
      <c r="AA23" s="12">
        <f>+Precios!Z21*Precios!Z$3</f>
        <v>0</v>
      </c>
      <c r="AB23" s="12">
        <f t="shared" ref="AB23:AD23" si="47">+AB22</f>
        <v>0</v>
      </c>
      <c r="AC23" s="12">
        <f t="shared" si="47"/>
        <v>0</v>
      </c>
      <c r="AD23" s="12">
        <f t="shared" si="47"/>
        <v>0</v>
      </c>
      <c r="AE23" s="12">
        <f>+Precios!AD21*Precios!AD$3</f>
        <v>0</v>
      </c>
      <c r="AF23" s="12">
        <f>+Precios!AE21*Precios!AE$3</f>
        <v>0</v>
      </c>
      <c r="AG23" s="12">
        <f>+Precios!AF21*Precios!AF$3</f>
        <v>0</v>
      </c>
      <c r="AH23" s="12">
        <f>+Precios!AG21*Precios!AG$3</f>
        <v>0</v>
      </c>
      <c r="AI23" s="12">
        <f>+Precios!AH21*Precios!AH$3</f>
        <v>0</v>
      </c>
      <c r="AJ23" s="12">
        <f>+Precios!AI21*Precios!AI$3</f>
        <v>0</v>
      </c>
      <c r="AK23" s="12">
        <f>+Precios!AJ21*Precios!AJ$3</f>
        <v>0</v>
      </c>
      <c r="AL23" s="12">
        <f>+Precios!AK21*Precios!AK$3</f>
        <v>0</v>
      </c>
      <c r="AM23" s="12">
        <f>+Precios!AL21*Precios!AL$3</f>
        <v>0</v>
      </c>
      <c r="AN23" s="12"/>
      <c r="AO23" s="12"/>
      <c r="AP23" s="12">
        <f>+Precios!AO21*Precios!AO$3</f>
        <v>0</v>
      </c>
      <c r="AQ23" s="12">
        <f>+Precios!AP21*Precios!AP$3</f>
        <v>0</v>
      </c>
      <c r="AR23" s="12">
        <f>+Precios!AQ21*Precios!AQ$3</f>
        <v>0</v>
      </c>
      <c r="AS23" s="12">
        <f>+Precios!AR21*Precios!AR$3</f>
        <v>0</v>
      </c>
      <c r="AT23" s="12">
        <f>+Precios!AS21*Precios!AS$3</f>
        <v>0</v>
      </c>
      <c r="AU23" s="12">
        <f>+Precios!AT21*Precios!AT$3</f>
        <v>0</v>
      </c>
      <c r="AV23" s="12"/>
      <c r="AW23" s="12">
        <f>+Precios!AV21*Precios!AV$3</f>
        <v>0</v>
      </c>
      <c r="AX23" s="12">
        <f>+Precios!AW21*Precios!AW$3</f>
        <v>0</v>
      </c>
      <c r="AY23" s="12">
        <f>+Precios!AX21*Precios!AX$3</f>
        <v>0</v>
      </c>
      <c r="AZ23" s="12">
        <f>+Precios!AY21*Precios!AY$3</f>
        <v>0</v>
      </c>
      <c r="BA23" s="12">
        <f>+Precios!AZ21*Precios!AZ$3</f>
        <v>0</v>
      </c>
      <c r="BB23" s="12">
        <f>+Precios!BA21*Precios!BA$3</f>
        <v>0</v>
      </c>
      <c r="BC23" s="12">
        <f>+Precios!BB21*Precios!BB$3</f>
        <v>0</v>
      </c>
      <c r="BD23" s="12">
        <f>+Precios!BC21*Precios!BC$3</f>
        <v>0</v>
      </c>
      <c r="BE23" s="12">
        <f>+Precios!BD21*Precios!BD$3</f>
        <v>0</v>
      </c>
      <c r="BF23" s="12">
        <f>+Precios!BE21*Precios!BE$3</f>
        <v>0</v>
      </c>
      <c r="BG23" s="12">
        <f>+Precios!BF21*Precios!BF$3</f>
        <v>0</v>
      </c>
      <c r="BH23" s="12">
        <f>+Precios!BG21*Precios!BG$3</f>
        <v>0</v>
      </c>
      <c r="BI23" s="12">
        <f>+Precios!BH21*Precios!BH$3</f>
        <v>0</v>
      </c>
      <c r="BJ23" s="12">
        <f>+Precios!BI21*Precios!BI$3</f>
        <v>0</v>
      </c>
      <c r="BK23" s="12">
        <f>+Precios!BJ21*Precios!BJ$3</f>
        <v>0</v>
      </c>
      <c r="BL23" s="12">
        <f>+Precios!BK21*Precios!BK$3</f>
        <v>0</v>
      </c>
      <c r="BM23" s="12">
        <f>+Precios!BL21*Precios!BL$3</f>
        <v>0</v>
      </c>
    </row>
    <row r="24" spans="1:65" ht="15" thickBot="1">
      <c r="A24" s="5">
        <f t="shared" si="0"/>
        <v>0</v>
      </c>
      <c r="B24" s="15">
        <f>+Precios!A22</f>
        <v>46002</v>
      </c>
      <c r="C24" s="12">
        <f>+Precios!B22*Precios!B$3</f>
        <v>0</v>
      </c>
      <c r="D24" s="12">
        <f>+Precios!C22*Precios!C$3</f>
        <v>0</v>
      </c>
      <c r="E24" s="12">
        <f>+E23</f>
        <v>0</v>
      </c>
      <c r="F24" s="12">
        <f>+Precios!E22*Precios!E$3</f>
        <v>0</v>
      </c>
      <c r="G24" s="12">
        <f>+Precios!F22*Precios!F$3</f>
        <v>0</v>
      </c>
      <c r="H24" s="12">
        <f t="shared" si="45"/>
        <v>0</v>
      </c>
      <c r="I24" s="12">
        <f t="shared" si="45"/>
        <v>0</v>
      </c>
      <c r="J24" s="12">
        <f t="shared" si="45"/>
        <v>0</v>
      </c>
      <c r="K24" s="12">
        <f t="shared" si="45"/>
        <v>0</v>
      </c>
      <c r="L24" s="12">
        <f t="shared" si="45"/>
        <v>0</v>
      </c>
      <c r="M24" s="12">
        <f t="shared" si="45"/>
        <v>0</v>
      </c>
      <c r="N24" s="12">
        <f t="shared" si="45"/>
        <v>0</v>
      </c>
      <c r="O24" s="12">
        <f t="shared" si="45"/>
        <v>0</v>
      </c>
      <c r="P24" s="12">
        <f>+Precios!O22*Precios!O$3</f>
        <v>0</v>
      </c>
      <c r="Q24" s="12">
        <f>+Precios!P22*Precios!P$3</f>
        <v>0</v>
      </c>
      <c r="R24" s="12">
        <f t="shared" ref="R24:S24" si="48">+R23</f>
        <v>0</v>
      </c>
      <c r="S24" s="12">
        <f t="shared" si="48"/>
        <v>0</v>
      </c>
      <c r="T24" s="12">
        <f>+Precios!S22*Precios!S$3</f>
        <v>0</v>
      </c>
      <c r="U24" s="12">
        <f>+Precios!T22*Precios!T$3</f>
        <v>0</v>
      </c>
      <c r="V24" s="12">
        <f>+Precios!U22*Precios!U$3</f>
        <v>0</v>
      </c>
      <c r="W24" s="12">
        <f>+Precios!V22*Precios!V$3</f>
        <v>0</v>
      </c>
      <c r="X24" s="12">
        <f>+Precios!W22*Precios!W$3</f>
        <v>0</v>
      </c>
      <c r="Y24" s="12">
        <f>+Precios!X22*Precios!X$3</f>
        <v>0</v>
      </c>
      <c r="Z24" s="12">
        <f>+Precios!Y22*Precios!Y$3</f>
        <v>0</v>
      </c>
      <c r="AA24" s="12">
        <f>+Precios!Z22*Precios!Z$3</f>
        <v>0</v>
      </c>
      <c r="AB24" s="12">
        <f t="shared" ref="AB24:AD24" si="49">+AB23</f>
        <v>0</v>
      </c>
      <c r="AC24" s="12">
        <f t="shared" si="49"/>
        <v>0</v>
      </c>
      <c r="AD24" s="12">
        <f t="shared" si="49"/>
        <v>0</v>
      </c>
      <c r="AE24" s="12">
        <f t="shared" si="3"/>
        <v>0</v>
      </c>
      <c r="AF24" s="12">
        <f>+Precios!AE22*Precios!AE$3</f>
        <v>0</v>
      </c>
      <c r="AG24" s="12">
        <f>+Precios!AF22*Precios!AF$3</f>
        <v>0</v>
      </c>
      <c r="AH24" s="12">
        <f>+Precios!AG22*Precios!AG$3</f>
        <v>0</v>
      </c>
      <c r="AI24" s="12">
        <f>+Precios!AH22*Precios!AH$3</f>
        <v>0</v>
      </c>
      <c r="AJ24" s="12">
        <f>+Precios!AI22*Precios!AI$3</f>
        <v>0</v>
      </c>
      <c r="AK24" s="12">
        <f>+Precios!AJ22*Precios!AJ$3</f>
        <v>0</v>
      </c>
      <c r="AL24" s="12">
        <f>+Precios!AK22*Precios!AK$3</f>
        <v>0</v>
      </c>
      <c r="AM24" s="12">
        <f>+Precios!AL22*Precios!AL$3</f>
        <v>0</v>
      </c>
      <c r="AN24" s="12"/>
      <c r="AO24" s="12"/>
      <c r="AP24" s="12">
        <f>+Precios!AO22*Precios!AO$3</f>
        <v>0</v>
      </c>
      <c r="AQ24" s="12">
        <f>+Precios!AP22*Precios!AP$3</f>
        <v>0</v>
      </c>
      <c r="AR24" s="12">
        <f>+Precios!AQ22*Precios!AQ$3</f>
        <v>0</v>
      </c>
      <c r="AS24" s="12">
        <f>+Precios!AR22*Precios!AR$3</f>
        <v>0</v>
      </c>
      <c r="AT24" s="12">
        <f>+Precios!AS22*Precios!AS$3</f>
        <v>0</v>
      </c>
      <c r="AU24" s="12">
        <f>+Precios!AT22*Precios!AT$3</f>
        <v>0</v>
      </c>
      <c r="AV24" s="12"/>
      <c r="AW24" s="12">
        <f>+Precios!AV22*Precios!AV$3</f>
        <v>0</v>
      </c>
      <c r="AX24" s="12">
        <f>+Precios!AW22*Precios!AW$3</f>
        <v>0</v>
      </c>
      <c r="AY24" s="12">
        <f>+Precios!AX22*Precios!AX$3</f>
        <v>0</v>
      </c>
      <c r="AZ24" s="12">
        <f>+Precios!AY22*Precios!AY$3</f>
        <v>0</v>
      </c>
      <c r="BA24" s="12">
        <f>+Precios!AZ22*Precios!AZ$3</f>
        <v>0</v>
      </c>
      <c r="BB24" s="12">
        <f>+Precios!BA22*Precios!BA$3</f>
        <v>0</v>
      </c>
      <c r="BC24" s="12">
        <f>+Precios!BB22*Precios!BB$3</f>
        <v>0</v>
      </c>
      <c r="BD24" s="12">
        <f>+Precios!BC22*Precios!BC$3</f>
        <v>0</v>
      </c>
      <c r="BE24" s="12">
        <f>+Precios!BD22*Precios!BD$3</f>
        <v>0</v>
      </c>
      <c r="BF24" s="12">
        <f>+Precios!BE22*Precios!BE$3</f>
        <v>0</v>
      </c>
      <c r="BG24" s="12">
        <f>+Precios!BF22*Precios!BF$3</f>
        <v>0</v>
      </c>
      <c r="BH24" s="12">
        <f>+Precios!BG22*Precios!BG$3</f>
        <v>0</v>
      </c>
      <c r="BI24" s="12">
        <f>+Precios!BH22*Precios!BH$3</f>
        <v>0</v>
      </c>
      <c r="BJ24" s="12">
        <f>+Precios!BI22*Precios!BI$3</f>
        <v>0</v>
      </c>
      <c r="BK24" s="12">
        <f>+Precios!BJ22*Precios!BJ$3</f>
        <v>0</v>
      </c>
      <c r="BL24" s="12">
        <f>+Precios!BK22*Precios!BK$3</f>
        <v>0</v>
      </c>
      <c r="BM24" s="12">
        <f>+Precios!BL22*Precios!BL$3</f>
        <v>0</v>
      </c>
    </row>
    <row r="25" spans="1:65" ht="15" thickBot="1">
      <c r="A25" s="5">
        <f t="shared" si="0"/>
        <v>0</v>
      </c>
      <c r="B25" s="15">
        <f>+Precios!A23</f>
        <v>46003</v>
      </c>
      <c r="C25" s="12">
        <f>+Precios!B23*Precios!B$3</f>
        <v>0</v>
      </c>
      <c r="D25" s="12">
        <f>+Precios!C23*Precios!C$3</f>
        <v>0</v>
      </c>
      <c r="E25" s="12">
        <f>+E24</f>
        <v>0</v>
      </c>
      <c r="F25" s="12">
        <f>+Precios!E23*Precios!E$3</f>
        <v>0</v>
      </c>
      <c r="G25" s="12">
        <f>+G24</f>
        <v>0</v>
      </c>
      <c r="H25" s="12">
        <f t="shared" si="45"/>
        <v>0</v>
      </c>
      <c r="I25" s="12">
        <f t="shared" si="45"/>
        <v>0</v>
      </c>
      <c r="J25" s="12">
        <f t="shared" si="45"/>
        <v>0</v>
      </c>
      <c r="K25" s="12">
        <f t="shared" si="45"/>
        <v>0</v>
      </c>
      <c r="L25" s="12">
        <f t="shared" si="45"/>
        <v>0</v>
      </c>
      <c r="M25" s="12">
        <f t="shared" si="45"/>
        <v>0</v>
      </c>
      <c r="N25" s="12">
        <f t="shared" si="45"/>
        <v>0</v>
      </c>
      <c r="O25" s="12">
        <f t="shared" si="45"/>
        <v>0</v>
      </c>
      <c r="P25" s="12">
        <f>+Precios!O23*Precios!O$3</f>
        <v>0</v>
      </c>
      <c r="Q25" s="12">
        <f>+Precios!P23*Precios!P$3</f>
        <v>0</v>
      </c>
      <c r="R25" s="12">
        <f t="shared" ref="R25:S25" si="50">+R24</f>
        <v>0</v>
      </c>
      <c r="S25" s="12">
        <f t="shared" si="50"/>
        <v>0</v>
      </c>
      <c r="T25" s="12">
        <f>+Precios!S23*Precios!S$3</f>
        <v>0</v>
      </c>
      <c r="U25" s="12">
        <f>+Precios!T23*Precios!T$3</f>
        <v>0</v>
      </c>
      <c r="V25" s="12">
        <f t="shared" ref="V25:X50" si="51">+V24</f>
        <v>0</v>
      </c>
      <c r="W25" s="12">
        <f>+Precios!V23*Precios!V$3</f>
        <v>0</v>
      </c>
      <c r="X25" s="12">
        <f>+Precios!W23*Precios!W$3</f>
        <v>0</v>
      </c>
      <c r="Y25" s="12">
        <f>+Precios!X23*Precios!X$3</f>
        <v>0</v>
      </c>
      <c r="Z25" s="12">
        <f>+Precios!Y23*Precios!Y$3</f>
        <v>0</v>
      </c>
      <c r="AA25" s="12">
        <f>+Precios!Z23*Precios!Z$3</f>
        <v>0</v>
      </c>
      <c r="AB25" s="12">
        <f t="shared" ref="AB25:AD25" si="52">+AB24</f>
        <v>0</v>
      </c>
      <c r="AC25" s="12">
        <f t="shared" si="52"/>
        <v>0</v>
      </c>
      <c r="AD25" s="12">
        <f t="shared" si="52"/>
        <v>0</v>
      </c>
      <c r="AE25" s="12">
        <f t="shared" si="3"/>
        <v>0</v>
      </c>
      <c r="AF25" s="12">
        <f t="shared" si="3"/>
        <v>0</v>
      </c>
      <c r="AG25" s="12">
        <f t="shared" ref="AG25:AO63" si="53">+AG24</f>
        <v>0</v>
      </c>
      <c r="AH25" s="12">
        <f>+Precios!AG23*Precios!AG$3</f>
        <v>0</v>
      </c>
      <c r="AI25" s="12">
        <f>+Precios!AH23*Precios!AH$3</f>
        <v>0</v>
      </c>
      <c r="AJ25" s="12">
        <f>+Precios!AI23*Precios!AI$3</f>
        <v>0</v>
      </c>
      <c r="AK25" s="12">
        <f>+Precios!AJ23*Precios!AJ$3</f>
        <v>0</v>
      </c>
      <c r="AL25" s="12">
        <f>+Precios!AK23*Precios!AK$3</f>
        <v>0</v>
      </c>
      <c r="AM25" s="12">
        <f>+Precios!AL23*Precios!AL$3</f>
        <v>0</v>
      </c>
      <c r="AN25" s="12"/>
      <c r="AO25" s="12"/>
      <c r="AP25" s="12">
        <f>+Precios!AO23*Precios!AO$3</f>
        <v>0</v>
      </c>
      <c r="AQ25" s="12">
        <f>+Precios!AP23*Precios!AP$3</f>
        <v>0</v>
      </c>
      <c r="AR25" s="12">
        <f>+Precios!AQ23*Precios!AQ$3</f>
        <v>0</v>
      </c>
      <c r="AS25" s="12">
        <f>+Precios!AR23*Precios!AR$3</f>
        <v>0</v>
      </c>
      <c r="AT25" s="12">
        <f>+Precios!AS23*Precios!AS$3</f>
        <v>0</v>
      </c>
      <c r="AU25" s="12">
        <f>+Precios!AT23*Precios!AT$3</f>
        <v>0</v>
      </c>
      <c r="AV25" s="12"/>
      <c r="AW25" s="12">
        <f>+Precios!AV23*Precios!AV$3</f>
        <v>0</v>
      </c>
      <c r="AX25" s="12">
        <f>+Precios!AW23*Precios!AW$3</f>
        <v>0</v>
      </c>
      <c r="AY25" s="12">
        <f>+Precios!AX23*Precios!AX$3</f>
        <v>0</v>
      </c>
      <c r="AZ25" s="12">
        <f>+Precios!AY23*Precios!AY$3</f>
        <v>0</v>
      </c>
      <c r="BA25" s="12">
        <f>+Precios!AZ23*Precios!AZ$3</f>
        <v>0</v>
      </c>
      <c r="BB25" s="12">
        <f>+Precios!BA23*Precios!BA$3</f>
        <v>0</v>
      </c>
      <c r="BC25" s="12">
        <f>+Precios!BB23*Precios!BB$3</f>
        <v>0</v>
      </c>
      <c r="BD25" s="12">
        <f>+Precios!BC23*Precios!BC$3</f>
        <v>0</v>
      </c>
      <c r="BE25" s="12">
        <f>+Precios!BD23*Precios!BD$3</f>
        <v>0</v>
      </c>
      <c r="BF25" s="12">
        <f>+Precios!BE23*Precios!BE$3</f>
        <v>0</v>
      </c>
      <c r="BG25" s="12">
        <f>+Precios!BF23*Precios!BF$3</f>
        <v>0</v>
      </c>
      <c r="BH25" s="12">
        <f>+Precios!BG23*Precios!BG$3</f>
        <v>0</v>
      </c>
      <c r="BI25" s="12">
        <f>+Precios!BH23*Precios!BH$3</f>
        <v>0</v>
      </c>
      <c r="BJ25" s="12">
        <f>+Precios!BI23*Precios!BI$3</f>
        <v>0</v>
      </c>
      <c r="BK25" s="12">
        <f>+Precios!BJ23*Precios!BJ$3</f>
        <v>0</v>
      </c>
      <c r="BL25" s="12">
        <f>+Precios!BK23*Precios!BK$3</f>
        <v>0</v>
      </c>
      <c r="BM25" s="12">
        <f>+Precios!BL23*Precios!BL$3</f>
        <v>0</v>
      </c>
    </row>
    <row r="26" spans="1:65" ht="15" thickBot="1">
      <c r="A26" s="5">
        <f t="shared" si="0"/>
        <v>0</v>
      </c>
      <c r="B26" s="15">
        <f>+Precios!A24</f>
        <v>46006</v>
      </c>
      <c r="C26" s="12">
        <f>+Precios!B24*Precios!B$3</f>
        <v>0</v>
      </c>
      <c r="D26" s="12">
        <f>+Precios!C24*Precios!C$3</f>
        <v>0</v>
      </c>
      <c r="E26" s="12">
        <f>+Precios!D24*Precios!D$3</f>
        <v>0</v>
      </c>
      <c r="F26" s="12">
        <f>+Precios!E24*Precios!E$3</f>
        <v>0</v>
      </c>
      <c r="G26" s="12">
        <f>+Precios!F24*Precios!F$3</f>
        <v>0</v>
      </c>
      <c r="H26" s="12">
        <f>+Precios!G24*Precios!G$3</f>
        <v>0</v>
      </c>
      <c r="I26" s="12">
        <f t="shared" ref="I26:O26" si="54">+I25</f>
        <v>0</v>
      </c>
      <c r="J26" s="12">
        <f t="shared" si="54"/>
        <v>0</v>
      </c>
      <c r="K26" s="12">
        <f t="shared" si="54"/>
        <v>0</v>
      </c>
      <c r="L26" s="12">
        <f t="shared" si="54"/>
        <v>0</v>
      </c>
      <c r="M26" s="12">
        <f t="shared" si="54"/>
        <v>0</v>
      </c>
      <c r="N26" s="12">
        <f t="shared" si="54"/>
        <v>0</v>
      </c>
      <c r="O26" s="12">
        <f t="shared" si="54"/>
        <v>0</v>
      </c>
      <c r="P26" s="12">
        <f>+Precios!O24*Precios!O$3</f>
        <v>0</v>
      </c>
      <c r="Q26" s="12">
        <f>+Precios!P24*Precios!P$3</f>
        <v>0</v>
      </c>
      <c r="R26" s="12">
        <f t="shared" ref="R26:S26" si="55">+R25</f>
        <v>0</v>
      </c>
      <c r="S26" s="12">
        <f t="shared" si="55"/>
        <v>0</v>
      </c>
      <c r="T26" s="12">
        <f>+Precios!S24*Precios!S$3</f>
        <v>0</v>
      </c>
      <c r="U26" s="12">
        <f>+Precios!T24*Precios!T$3</f>
        <v>0</v>
      </c>
      <c r="V26" s="12">
        <f t="shared" ref="V26" si="56">+V25</f>
        <v>0</v>
      </c>
      <c r="W26" s="12">
        <f>+Precios!V24*Precios!V$3</f>
        <v>0</v>
      </c>
      <c r="X26" s="12">
        <f>+Precios!W24*Precios!W$3</f>
        <v>0</v>
      </c>
      <c r="Y26" s="12">
        <f>+Precios!X24*Precios!X$3</f>
        <v>0</v>
      </c>
      <c r="Z26" s="12">
        <f>+Precios!Y24*Precios!Y$3</f>
        <v>0</v>
      </c>
      <c r="AA26" s="12">
        <f>+Precios!Z24*Precios!Z$3</f>
        <v>0</v>
      </c>
      <c r="AB26" s="12">
        <f t="shared" ref="AB26:AG26" si="57">+AB25</f>
        <v>0</v>
      </c>
      <c r="AC26" s="12">
        <f t="shared" si="57"/>
        <v>0</v>
      </c>
      <c r="AD26" s="12">
        <f t="shared" si="57"/>
        <v>0</v>
      </c>
      <c r="AE26" s="12">
        <f t="shared" si="57"/>
        <v>0</v>
      </c>
      <c r="AF26" s="12">
        <f t="shared" si="57"/>
        <v>0</v>
      </c>
      <c r="AG26" s="12">
        <f t="shared" si="57"/>
        <v>0</v>
      </c>
      <c r="AH26" s="12">
        <f>+Precios!AG24*Precios!AG$3</f>
        <v>0</v>
      </c>
      <c r="AI26" s="12">
        <f>+Precios!AH24*Precios!AH$3</f>
        <v>0</v>
      </c>
      <c r="AJ26" s="12">
        <f>+Precios!AI24*Precios!AI$3</f>
        <v>0</v>
      </c>
      <c r="AK26" s="12">
        <f>+Precios!AJ24*Precios!AJ$3</f>
        <v>0</v>
      </c>
      <c r="AL26" s="12">
        <f>+Precios!AK24*Precios!AK$3</f>
        <v>0</v>
      </c>
      <c r="AM26" s="12">
        <f>+Precios!AL24*Precios!AL$3</f>
        <v>0</v>
      </c>
      <c r="AN26" s="12"/>
      <c r="AO26" s="12"/>
      <c r="AP26" s="12">
        <f>+Precios!AO24*Precios!AO$3</f>
        <v>0</v>
      </c>
      <c r="AQ26" s="12">
        <f>+Precios!AP24*Precios!AP$3</f>
        <v>0</v>
      </c>
      <c r="AR26" s="12">
        <f>+Precios!AQ24*Precios!AQ$3</f>
        <v>0</v>
      </c>
      <c r="AS26" s="12">
        <f>+Precios!AR24*Precios!AR$3</f>
        <v>0</v>
      </c>
      <c r="AT26" s="12">
        <f>+Precios!AS24*Precios!AS$3</f>
        <v>0</v>
      </c>
      <c r="AU26" s="12">
        <f>+Precios!AT24*Precios!AT$3</f>
        <v>0</v>
      </c>
      <c r="AV26" s="12"/>
      <c r="AW26" s="12">
        <f>+Precios!AV24*Precios!AV$3</f>
        <v>0</v>
      </c>
      <c r="AX26" s="12">
        <f>+Precios!AW24*Precios!AW$3</f>
        <v>0</v>
      </c>
      <c r="AY26" s="12">
        <f>+Precios!AX24*Precios!AX$3</f>
        <v>0</v>
      </c>
      <c r="AZ26" s="12">
        <f>+Precios!AY24*Precios!AY$3</f>
        <v>0</v>
      </c>
      <c r="BA26" s="12">
        <f>+Precios!AZ24*Precios!AZ$3</f>
        <v>0</v>
      </c>
      <c r="BB26" s="12">
        <f>+Precios!BA24*Precios!BA$3</f>
        <v>0</v>
      </c>
      <c r="BC26" s="12">
        <f>+Precios!BB24*Precios!BB$3</f>
        <v>0</v>
      </c>
      <c r="BD26" s="12">
        <f>+Precios!BC24*Precios!BC$3</f>
        <v>0</v>
      </c>
      <c r="BE26" s="12">
        <f>+Precios!BD24*Precios!BD$3</f>
        <v>0</v>
      </c>
      <c r="BF26" s="12">
        <f>+Precios!BE24*Precios!BE$3</f>
        <v>0</v>
      </c>
      <c r="BG26" s="12">
        <f>+Precios!BF24*Precios!BF$3</f>
        <v>0</v>
      </c>
      <c r="BH26" s="12">
        <f>+Precios!BG24*Precios!BG$3</f>
        <v>0</v>
      </c>
      <c r="BI26" s="12">
        <f>+Precios!BH24*Precios!BH$3</f>
        <v>0</v>
      </c>
      <c r="BJ26" s="12">
        <f>+Precios!BI24*Precios!BI$3</f>
        <v>0</v>
      </c>
      <c r="BK26" s="12">
        <f>+Precios!BJ24*Precios!BJ$3</f>
        <v>0</v>
      </c>
      <c r="BL26" s="12">
        <f>+Precios!BK24*Precios!BK$3</f>
        <v>0</v>
      </c>
      <c r="BM26" s="12">
        <f>+Precios!BL24*Precios!BL$3</f>
        <v>0</v>
      </c>
    </row>
    <row r="27" spans="1:65" ht="15" thickBot="1">
      <c r="A27" s="5">
        <f t="shared" si="0"/>
        <v>0</v>
      </c>
      <c r="B27" s="15">
        <f>+Precios!A25</f>
        <v>46007</v>
      </c>
      <c r="C27" s="12">
        <f>+Precios!B25*Precios!B$3</f>
        <v>0</v>
      </c>
      <c r="D27" s="12">
        <f>+Precios!C25*Precios!C$3</f>
        <v>0</v>
      </c>
      <c r="E27" s="12">
        <f>+Precios!D25*Precios!D$3</f>
        <v>0</v>
      </c>
      <c r="F27" s="12">
        <f>+Precios!E25*Precios!E$3</f>
        <v>0</v>
      </c>
      <c r="G27" s="12">
        <f>+Precios!F25*Precios!F$3</f>
        <v>0</v>
      </c>
      <c r="H27" s="12">
        <f>+Precios!G25*Precios!G$3</f>
        <v>0</v>
      </c>
      <c r="I27" s="12">
        <f>+Precios!H25*Precios!H$3</f>
        <v>0</v>
      </c>
      <c r="J27" s="12">
        <f>+Precios!I25*Precios!I$3</f>
        <v>0</v>
      </c>
      <c r="K27" s="12">
        <f t="shared" ref="K27:O27" si="58">+K26</f>
        <v>0</v>
      </c>
      <c r="L27" s="12">
        <f t="shared" si="58"/>
        <v>0</v>
      </c>
      <c r="M27" s="12">
        <f t="shared" si="58"/>
        <v>0</v>
      </c>
      <c r="N27" s="12">
        <f t="shared" si="58"/>
        <v>0</v>
      </c>
      <c r="O27" s="12">
        <f t="shared" si="58"/>
        <v>0</v>
      </c>
      <c r="P27" s="12">
        <f t="shared" si="2"/>
        <v>0</v>
      </c>
      <c r="Q27" s="12">
        <f>+Precios!P25*Precios!P$3</f>
        <v>0</v>
      </c>
      <c r="R27" s="12">
        <f t="shared" ref="R27:S27" si="59">+R26</f>
        <v>0</v>
      </c>
      <c r="S27" s="12">
        <f t="shared" si="59"/>
        <v>0</v>
      </c>
      <c r="T27" s="12">
        <f>+Precios!S25*Precios!S$3</f>
        <v>0</v>
      </c>
      <c r="U27" s="12">
        <f>+Precios!T25*Precios!T$3</f>
        <v>0</v>
      </c>
      <c r="V27" s="12">
        <f t="shared" ref="V27" si="60">+V26</f>
        <v>0</v>
      </c>
      <c r="W27" s="12">
        <f>+Precios!V25*Precios!V$3</f>
        <v>0</v>
      </c>
      <c r="X27" s="12">
        <f>+Precios!W25*Precios!W$3</f>
        <v>0</v>
      </c>
      <c r="Y27" s="12">
        <f>+Precios!X25*Precios!X$3</f>
        <v>0</v>
      </c>
      <c r="Z27" s="12">
        <f>+Precios!Y25*Precios!Y$3</f>
        <v>0</v>
      </c>
      <c r="AA27" s="12">
        <f>+Precios!Z25*Precios!Z$3</f>
        <v>0</v>
      </c>
      <c r="AB27" s="12">
        <f t="shared" ref="AB27:AG27" si="61">+AB26</f>
        <v>0</v>
      </c>
      <c r="AC27" s="12">
        <f t="shared" si="61"/>
        <v>0</v>
      </c>
      <c r="AD27" s="12">
        <f t="shared" si="61"/>
        <v>0</v>
      </c>
      <c r="AE27" s="12">
        <f t="shared" si="61"/>
        <v>0</v>
      </c>
      <c r="AF27" s="12">
        <f t="shared" si="61"/>
        <v>0</v>
      </c>
      <c r="AG27" s="12">
        <f t="shared" si="61"/>
        <v>0</v>
      </c>
      <c r="AH27" s="12">
        <f>+Precios!AG25*Precios!AG$3</f>
        <v>0</v>
      </c>
      <c r="AI27" s="12">
        <f>+Precios!AH25*Precios!AH$3</f>
        <v>0</v>
      </c>
      <c r="AJ27" s="12">
        <f>+Precios!AI25*Precios!AI$3</f>
        <v>0</v>
      </c>
      <c r="AK27" s="12">
        <f>+Precios!AJ25*Precios!AJ$3</f>
        <v>0</v>
      </c>
      <c r="AL27" s="12">
        <f>+Precios!AK25*Precios!AK$3</f>
        <v>0</v>
      </c>
      <c r="AM27" s="12">
        <f>+Precios!AL25*Precios!AL$3</f>
        <v>0</v>
      </c>
      <c r="AN27" s="12"/>
      <c r="AO27" s="12"/>
      <c r="AP27" s="12">
        <f>+Precios!AO25*Precios!AO$3</f>
        <v>0</v>
      </c>
      <c r="AQ27" s="12">
        <f>+Precios!AP25*Precios!AP$3</f>
        <v>0</v>
      </c>
      <c r="AR27" s="12">
        <f>+Precios!AQ25*Precios!AQ$3</f>
        <v>0</v>
      </c>
      <c r="AS27" s="12">
        <f>+Precios!AR25*Precios!AR$3</f>
        <v>0</v>
      </c>
      <c r="AT27" s="12">
        <f>+Precios!AS25*Precios!AS$3</f>
        <v>0</v>
      </c>
      <c r="AU27" s="12">
        <f>+Precios!AT25*Precios!AT$3</f>
        <v>0</v>
      </c>
      <c r="AV27" s="12"/>
      <c r="AW27" s="12">
        <f>+Precios!AV25*Precios!AV$3</f>
        <v>0</v>
      </c>
      <c r="AX27" s="12">
        <f>+Precios!AW25*Precios!AW$3</f>
        <v>0</v>
      </c>
      <c r="AY27" s="12">
        <f>+Precios!AX25*Precios!AX$3</f>
        <v>0</v>
      </c>
      <c r="AZ27" s="12">
        <f>+Precios!AY25*Precios!AY$3</f>
        <v>0</v>
      </c>
      <c r="BA27" s="12">
        <f>+Precios!AZ25*Precios!AZ$3</f>
        <v>0</v>
      </c>
      <c r="BB27" s="12">
        <f>+Precios!BA25*Precios!BA$3</f>
        <v>0</v>
      </c>
      <c r="BC27" s="12">
        <f>+Precios!BB25*Precios!BB$3</f>
        <v>0</v>
      </c>
      <c r="BD27" s="12">
        <f>+Precios!BC25*Precios!BC$3</f>
        <v>0</v>
      </c>
      <c r="BE27" s="12">
        <f>+Precios!BD25*Precios!BD$3</f>
        <v>0</v>
      </c>
      <c r="BF27" s="12">
        <f>+Precios!BE25*Precios!BE$3</f>
        <v>0</v>
      </c>
      <c r="BG27" s="12">
        <f>+Precios!BF25*Precios!BF$3</f>
        <v>0</v>
      </c>
      <c r="BH27" s="12">
        <f>+Precios!BG25*Precios!BG$3</f>
        <v>0</v>
      </c>
      <c r="BI27" s="12">
        <f>+Precios!BH25*Precios!BH$3</f>
        <v>0</v>
      </c>
      <c r="BJ27" s="12">
        <f>+Precios!BI25*Precios!BI$3</f>
        <v>0</v>
      </c>
      <c r="BK27" s="12">
        <f>+Precios!BJ25*Precios!BJ$3</f>
        <v>0</v>
      </c>
      <c r="BL27" s="12">
        <f>+Precios!BK25*Precios!BK$3</f>
        <v>0</v>
      </c>
      <c r="BM27" s="12">
        <f>+Precios!BL25*Precios!BL$3</f>
        <v>0</v>
      </c>
    </row>
    <row r="28" spans="1:65" ht="15" thickBot="1">
      <c r="A28" s="5">
        <f t="shared" si="0"/>
        <v>0</v>
      </c>
      <c r="B28" s="15">
        <f>+Precios!A26</f>
        <v>46008</v>
      </c>
      <c r="C28" s="12">
        <f>+Precios!B26*Precios!B$3</f>
        <v>0</v>
      </c>
      <c r="D28" s="12">
        <f>+Precios!C26*Precios!C$3</f>
        <v>0</v>
      </c>
      <c r="E28" s="12">
        <f>+Precios!D26*Precios!D$3</f>
        <v>0</v>
      </c>
      <c r="F28" s="12">
        <f>+Precios!E26*Precios!E$3</f>
        <v>0</v>
      </c>
      <c r="G28" s="12">
        <f>+Precios!F26*Precios!F$3</f>
        <v>0</v>
      </c>
      <c r="H28" s="12">
        <f>+Precios!G26*Precios!G$3</f>
        <v>0</v>
      </c>
      <c r="I28" s="12">
        <f>+Precios!H26*Precios!H$3</f>
        <v>0</v>
      </c>
      <c r="J28" s="12">
        <f>+Precios!I26*Precios!I$3</f>
        <v>0</v>
      </c>
      <c r="K28" s="12">
        <f>+Precios!J26*Precios!J$3</f>
        <v>0</v>
      </c>
      <c r="L28" s="12">
        <f>+Precios!K26*Precios!K$3</f>
        <v>0</v>
      </c>
      <c r="M28" s="12">
        <f>+Precios!L26*Precios!L$3</f>
        <v>0</v>
      </c>
      <c r="N28" s="12">
        <f t="shared" ref="N28:O28" si="62">+N27</f>
        <v>0</v>
      </c>
      <c r="O28" s="12">
        <f t="shared" si="62"/>
        <v>0</v>
      </c>
      <c r="P28" s="12">
        <f t="shared" si="2"/>
        <v>0</v>
      </c>
      <c r="Q28" s="12">
        <f>+Precios!P26*Precios!P$3</f>
        <v>0</v>
      </c>
      <c r="R28" s="12">
        <f t="shared" ref="R28:S28" si="63">+R27</f>
        <v>0</v>
      </c>
      <c r="S28" s="12">
        <f t="shared" si="63"/>
        <v>0</v>
      </c>
      <c r="T28" s="12">
        <f>+Precios!S26*Precios!S$3</f>
        <v>0</v>
      </c>
      <c r="U28" s="12">
        <f>+Precios!T26*Precios!T$3</f>
        <v>0</v>
      </c>
      <c r="V28" s="12">
        <f t="shared" ref="V28" si="64">+V27</f>
        <v>0</v>
      </c>
      <c r="W28" s="12">
        <f>+Precios!V26*Precios!V$3</f>
        <v>0</v>
      </c>
      <c r="X28" s="12">
        <f>+Precios!W26*Precios!W$3</f>
        <v>0</v>
      </c>
      <c r="Y28" s="12">
        <f>+Precios!X26*Precios!X$3</f>
        <v>0</v>
      </c>
      <c r="Z28" s="12">
        <f>+Precios!Y26*Precios!Y$3</f>
        <v>0</v>
      </c>
      <c r="AA28" s="12">
        <f>+Precios!Z26*Precios!Z$3</f>
        <v>0</v>
      </c>
      <c r="AB28" s="12">
        <f t="shared" ref="AB28:AG28" si="65">+AB27</f>
        <v>0</v>
      </c>
      <c r="AC28" s="12">
        <f t="shared" si="65"/>
        <v>0</v>
      </c>
      <c r="AD28" s="12">
        <f t="shared" si="65"/>
        <v>0</v>
      </c>
      <c r="AE28" s="12">
        <f t="shared" si="65"/>
        <v>0</v>
      </c>
      <c r="AF28" s="12">
        <f t="shared" si="65"/>
        <v>0</v>
      </c>
      <c r="AG28" s="12">
        <f t="shared" si="65"/>
        <v>0</v>
      </c>
      <c r="AH28" s="12">
        <f>+Precios!AG26*Precios!AG$3</f>
        <v>0</v>
      </c>
      <c r="AI28" s="12">
        <f>+Precios!AH26*Precios!AH$3</f>
        <v>0</v>
      </c>
      <c r="AJ28" s="12">
        <f>+Precios!AI26*Precios!AI$3</f>
        <v>0</v>
      </c>
      <c r="AK28" s="12">
        <f>+Precios!AJ26*Precios!AJ$3</f>
        <v>0</v>
      </c>
      <c r="AL28" s="12">
        <f>+Precios!AK26*Precios!AK$3</f>
        <v>0</v>
      </c>
      <c r="AM28" s="12">
        <f>+Precios!AL26*Precios!AL$3</f>
        <v>0</v>
      </c>
      <c r="AN28" s="12"/>
      <c r="AO28" s="12"/>
      <c r="AP28" s="12">
        <f>+Precios!AO26*Precios!AO$3</f>
        <v>0</v>
      </c>
      <c r="AQ28" s="12">
        <f>+Precios!AP26*Precios!AP$3</f>
        <v>0</v>
      </c>
      <c r="AR28" s="12">
        <f>+Precios!AQ26*Precios!AQ$3</f>
        <v>0</v>
      </c>
      <c r="AS28" s="12">
        <f>+Precios!AR26*Precios!AR$3</f>
        <v>0</v>
      </c>
      <c r="AT28" s="12">
        <f>+Precios!AS26*Precios!AS$3</f>
        <v>0</v>
      </c>
      <c r="AU28" s="12">
        <f>+Precios!AT26*Precios!AT$3</f>
        <v>0</v>
      </c>
      <c r="AV28" s="12"/>
      <c r="AW28" s="12">
        <f>+Precios!AV26*Precios!AV$3</f>
        <v>0</v>
      </c>
      <c r="AX28" s="12">
        <f>+Precios!AW26*Precios!AW$3</f>
        <v>0</v>
      </c>
      <c r="AY28" s="12">
        <f>+Precios!AX26*Precios!AX$3</f>
        <v>0</v>
      </c>
      <c r="AZ28" s="12">
        <f>+Precios!AY26*Precios!AY$3</f>
        <v>0</v>
      </c>
      <c r="BA28" s="12">
        <f>+Precios!AZ26*Precios!AZ$3</f>
        <v>0</v>
      </c>
      <c r="BB28" s="12">
        <f>+Precios!BA26*Precios!BA$3</f>
        <v>0</v>
      </c>
      <c r="BC28" s="12">
        <f>+Precios!BB26*Precios!BB$3</f>
        <v>0</v>
      </c>
      <c r="BD28" s="12">
        <f>+Precios!BC26*Precios!BC$3</f>
        <v>0</v>
      </c>
      <c r="BE28" s="12">
        <f>+Precios!BD26*Precios!BD$3</f>
        <v>0</v>
      </c>
      <c r="BF28" s="12">
        <f>+Precios!BE26*Precios!BE$3</f>
        <v>0</v>
      </c>
      <c r="BG28" s="12">
        <f>+Precios!BF26*Precios!BF$3</f>
        <v>0</v>
      </c>
      <c r="BH28" s="12">
        <f>+Precios!BG26*Precios!BG$3</f>
        <v>0</v>
      </c>
      <c r="BI28" s="12">
        <f>+Precios!BH26*Precios!BH$3</f>
        <v>0</v>
      </c>
      <c r="BJ28" s="12">
        <f>+Precios!BI26*Precios!BI$3</f>
        <v>0</v>
      </c>
      <c r="BK28" s="12">
        <f>+Precios!BJ26*Precios!BJ$3</f>
        <v>0</v>
      </c>
      <c r="BL28" s="12">
        <f>+Precios!BK26*Precios!BK$3</f>
        <v>0</v>
      </c>
      <c r="BM28" s="12">
        <f>+Precios!BL26*Precios!BL$3</f>
        <v>0</v>
      </c>
    </row>
    <row r="29" spans="1:65" ht="15" thickBot="1">
      <c r="A29" s="5">
        <f t="shared" si="0"/>
        <v>0</v>
      </c>
      <c r="B29" s="15">
        <f>+Precios!A27</f>
        <v>46009</v>
      </c>
      <c r="C29" s="12">
        <f>+Precios!B27*Precios!B$3</f>
        <v>0</v>
      </c>
      <c r="D29" s="12">
        <f>+Precios!C27*Precios!C$3</f>
        <v>0</v>
      </c>
      <c r="E29" s="12">
        <f>+Precios!D27*Precios!D$3</f>
        <v>0</v>
      </c>
      <c r="F29" s="12">
        <f>+Precios!E27*Precios!E$3</f>
        <v>0</v>
      </c>
      <c r="G29" s="12">
        <f>+Precios!F27*Precios!F$3</f>
        <v>0</v>
      </c>
      <c r="H29" s="12">
        <f>+Precios!G27*Precios!G$3</f>
        <v>0</v>
      </c>
      <c r="I29" s="12">
        <f>+Precios!H27*Precios!H$3</f>
        <v>0</v>
      </c>
      <c r="J29" s="12">
        <f>+Precios!I27*Precios!I$3</f>
        <v>0</v>
      </c>
      <c r="K29" s="12">
        <f>+Precios!J27*Precios!J$3</f>
        <v>0</v>
      </c>
      <c r="L29" s="12">
        <f>+Precios!K27*Precios!K$3</f>
        <v>0</v>
      </c>
      <c r="M29" s="12">
        <f>+Precios!L27*Precios!L$3</f>
        <v>0</v>
      </c>
      <c r="N29" s="12">
        <f>+Precios!M27*Precios!M$3</f>
        <v>0</v>
      </c>
      <c r="O29" s="12">
        <f>+Precios!N27*Precios!N$3</f>
        <v>0</v>
      </c>
      <c r="P29" s="12">
        <f t="shared" ref="P29:S30" si="66">+P28</f>
        <v>0</v>
      </c>
      <c r="Q29" s="12">
        <f>+Precios!P27*Precios!P$3</f>
        <v>0</v>
      </c>
      <c r="R29" s="12">
        <f t="shared" ref="R29:S29" si="67">+R28</f>
        <v>0</v>
      </c>
      <c r="S29" s="12">
        <f t="shared" si="67"/>
        <v>0</v>
      </c>
      <c r="T29" s="12">
        <f t="shared" si="5"/>
        <v>0</v>
      </c>
      <c r="U29" s="12">
        <f>+Precios!T27*Precios!T$3</f>
        <v>0</v>
      </c>
      <c r="V29" s="12">
        <f t="shared" ref="V29" si="68">+V28</f>
        <v>0</v>
      </c>
      <c r="W29" s="12">
        <f>+Precios!V27*Precios!V$3</f>
        <v>0</v>
      </c>
      <c r="X29" s="12">
        <f>+Precios!W27*Precios!W$3</f>
        <v>0</v>
      </c>
      <c r="Y29" s="12">
        <f>+Precios!X27*Precios!X$3</f>
        <v>0</v>
      </c>
      <c r="Z29" s="12">
        <f>+Precios!Y27*Precios!Y$3</f>
        <v>0</v>
      </c>
      <c r="AA29" s="12">
        <f>+Precios!Z27*Precios!Z$3</f>
        <v>0</v>
      </c>
      <c r="AB29" s="12">
        <f t="shared" ref="AB29:AG29" si="69">+AB28</f>
        <v>0</v>
      </c>
      <c r="AC29" s="12">
        <f t="shared" si="69"/>
        <v>0</v>
      </c>
      <c r="AD29" s="12">
        <f t="shared" si="69"/>
        <v>0</v>
      </c>
      <c r="AE29" s="12">
        <f t="shared" si="69"/>
        <v>0</v>
      </c>
      <c r="AF29" s="12">
        <f t="shared" si="69"/>
        <v>0</v>
      </c>
      <c r="AG29" s="12">
        <f t="shared" si="69"/>
        <v>0</v>
      </c>
      <c r="AH29" s="12">
        <f>+Precios!AG27*Precios!AG$3</f>
        <v>0</v>
      </c>
      <c r="AI29" s="12">
        <f>+Precios!AH27*Precios!AH$3</f>
        <v>0</v>
      </c>
      <c r="AJ29" s="12">
        <f>+Precios!AI27*Precios!AI$3</f>
        <v>0</v>
      </c>
      <c r="AK29" s="12">
        <f>+Precios!AJ27*Precios!AJ$3</f>
        <v>0</v>
      </c>
      <c r="AL29" s="12">
        <f>+Precios!AK27*Precios!AK$3</f>
        <v>0</v>
      </c>
      <c r="AM29" s="12">
        <f>+Precios!AL27*Precios!AL$3</f>
        <v>0</v>
      </c>
      <c r="AN29" s="12"/>
      <c r="AO29" s="12"/>
      <c r="AP29" s="12">
        <f>+Precios!AO27*Precios!AO$3</f>
        <v>0</v>
      </c>
      <c r="AQ29" s="12">
        <f>+Precios!AP27*Precios!AP$3</f>
        <v>0</v>
      </c>
      <c r="AR29" s="12">
        <f>+Precios!AQ27*Precios!AQ$3</f>
        <v>0</v>
      </c>
      <c r="AS29" s="12">
        <f>+Precios!AR27*Precios!AR$3</f>
        <v>0</v>
      </c>
      <c r="AT29" s="12">
        <f>+Precios!AS27*Precios!AS$3</f>
        <v>0</v>
      </c>
      <c r="AU29" s="12">
        <f>+Precios!AT27*Precios!AT$3</f>
        <v>0</v>
      </c>
      <c r="AV29" s="12"/>
      <c r="AW29" s="12">
        <f>+Precios!AV27*Precios!AV$3</f>
        <v>0</v>
      </c>
      <c r="AX29" s="12">
        <f>+Precios!AW27*Precios!AW$3</f>
        <v>0</v>
      </c>
      <c r="AY29" s="12">
        <f>+Precios!AX27*Precios!AX$3</f>
        <v>0</v>
      </c>
      <c r="AZ29" s="12">
        <f>+Precios!AY27*Precios!AY$3</f>
        <v>0</v>
      </c>
      <c r="BA29" s="12">
        <f>+Precios!AZ27*Precios!AZ$3</f>
        <v>0</v>
      </c>
      <c r="BB29" s="12">
        <f>+Precios!BA27*Precios!BA$3</f>
        <v>0</v>
      </c>
      <c r="BC29" s="12">
        <f>+Precios!BB27*Precios!BB$3</f>
        <v>0</v>
      </c>
      <c r="BD29" s="12">
        <f>+Precios!BC27*Precios!BC$3</f>
        <v>0</v>
      </c>
      <c r="BE29" s="12">
        <f>+Precios!BD27*Precios!BD$3</f>
        <v>0</v>
      </c>
      <c r="BF29" s="12">
        <f>+Precios!BE27*Precios!BE$3</f>
        <v>0</v>
      </c>
      <c r="BG29" s="12">
        <f>+Precios!BF27*Precios!BF$3</f>
        <v>0</v>
      </c>
      <c r="BH29" s="12">
        <f>+Precios!BG27*Precios!BG$3</f>
        <v>0</v>
      </c>
      <c r="BI29" s="12">
        <f>+Precios!BH27*Precios!BH$3</f>
        <v>0</v>
      </c>
      <c r="BJ29" s="12">
        <f>+Precios!BI27*Precios!BI$3</f>
        <v>0</v>
      </c>
      <c r="BK29" s="12">
        <f>+Precios!BJ27*Precios!BJ$3</f>
        <v>0</v>
      </c>
      <c r="BL29" s="12">
        <f>+Precios!BK27*Precios!BK$3</f>
        <v>0</v>
      </c>
      <c r="BM29" s="12">
        <f>+Precios!BL27*Precios!BL$3</f>
        <v>0</v>
      </c>
    </row>
    <row r="30" spans="1:65" ht="15" thickBot="1">
      <c r="A30" s="5">
        <f t="shared" si="0"/>
        <v>0</v>
      </c>
      <c r="B30" s="15">
        <f>+Precios!A28</f>
        <v>46010</v>
      </c>
      <c r="C30" s="12">
        <f>+Precios!B28*Precios!B$3</f>
        <v>0</v>
      </c>
      <c r="D30" s="12">
        <f>+Precios!C28*Precios!C$3</f>
        <v>0</v>
      </c>
      <c r="E30" s="12">
        <f>+Precios!D28*Precios!D$3</f>
        <v>0</v>
      </c>
      <c r="F30" s="12">
        <f>+Precios!E28*Precios!E$3</f>
        <v>0</v>
      </c>
      <c r="G30" s="12">
        <f>+Precios!F28*Precios!F$3</f>
        <v>0</v>
      </c>
      <c r="H30" s="12">
        <f>+Precios!G28*Precios!G$3</f>
        <v>0</v>
      </c>
      <c r="I30" s="12">
        <f>+Precios!H28*Precios!H$3</f>
        <v>0</v>
      </c>
      <c r="J30" s="12">
        <f>+Precios!I28*Precios!I$3</f>
        <v>0</v>
      </c>
      <c r="K30" s="12">
        <f>+Precios!J28*Precios!J$3</f>
        <v>0</v>
      </c>
      <c r="L30" s="12">
        <f>+Precios!K28*Precios!K$3</f>
        <v>0</v>
      </c>
      <c r="M30" s="12">
        <f>+Precios!L28*Precios!L$3</f>
        <v>0</v>
      </c>
      <c r="N30" s="12">
        <f>+Precios!M28*Precios!M$3</f>
        <v>0</v>
      </c>
      <c r="O30" s="12">
        <f>+Precios!N28*Precios!N$3</f>
        <v>0</v>
      </c>
      <c r="P30" s="12">
        <f t="shared" si="66"/>
        <v>0</v>
      </c>
      <c r="Q30" s="12">
        <f t="shared" si="66"/>
        <v>0</v>
      </c>
      <c r="R30" s="12">
        <f t="shared" si="66"/>
        <v>0</v>
      </c>
      <c r="S30" s="12">
        <f t="shared" si="66"/>
        <v>0</v>
      </c>
      <c r="T30" s="12">
        <f t="shared" si="5"/>
        <v>0</v>
      </c>
      <c r="U30" s="12">
        <f>+Precios!T28*Precios!T$3</f>
        <v>0</v>
      </c>
      <c r="V30" s="12">
        <f t="shared" ref="V30" si="70">+V29</f>
        <v>0</v>
      </c>
      <c r="W30" s="12">
        <f>+Precios!V28*Precios!V$3</f>
        <v>0</v>
      </c>
      <c r="X30" s="12">
        <f>+Precios!W28*Precios!W$3</f>
        <v>0</v>
      </c>
      <c r="Y30" s="12">
        <f>+Precios!X28*Precios!X$3</f>
        <v>0</v>
      </c>
      <c r="Z30" s="12">
        <f>+Precios!Y28*Precios!Y$3</f>
        <v>0</v>
      </c>
      <c r="AA30" s="12">
        <f>+Precios!Z28*Precios!Z$3</f>
        <v>0</v>
      </c>
      <c r="AB30" s="12">
        <f t="shared" ref="AB30:AG30" si="71">+AB29</f>
        <v>0</v>
      </c>
      <c r="AC30" s="12">
        <f t="shared" si="71"/>
        <v>0</v>
      </c>
      <c r="AD30" s="12">
        <f t="shared" si="71"/>
        <v>0</v>
      </c>
      <c r="AE30" s="12">
        <f t="shared" si="71"/>
        <v>0</v>
      </c>
      <c r="AF30" s="12">
        <f t="shared" si="71"/>
        <v>0</v>
      </c>
      <c r="AG30" s="12">
        <f t="shared" si="71"/>
        <v>0</v>
      </c>
      <c r="AH30" s="12">
        <f>+Precios!AG28*Precios!AG$3</f>
        <v>0</v>
      </c>
      <c r="AI30" s="12">
        <f>+Precios!AH28*Precios!AH$3</f>
        <v>0</v>
      </c>
      <c r="AJ30" s="12">
        <f>+Precios!AI28*Precios!AI$3</f>
        <v>0</v>
      </c>
      <c r="AK30" s="12">
        <f>+Precios!AJ28*Precios!AJ$3</f>
        <v>0</v>
      </c>
      <c r="AL30" s="12">
        <f>+Precios!AK28*Precios!AK$3</f>
        <v>0</v>
      </c>
      <c r="AM30" s="12">
        <f>+Precios!AL28*Precios!AL$3</f>
        <v>0</v>
      </c>
      <c r="AN30" s="12"/>
      <c r="AO30" s="12"/>
      <c r="AP30" s="12">
        <f>+Precios!AO28*Precios!AO$3</f>
        <v>0</v>
      </c>
      <c r="AQ30" s="12">
        <f>+Precios!AP28*Precios!AP$3</f>
        <v>0</v>
      </c>
      <c r="AR30" s="12">
        <f>+Precios!AQ28*Precios!AQ$3</f>
        <v>0</v>
      </c>
      <c r="AS30" s="12">
        <f>+Precios!AR28*Precios!AR$3</f>
        <v>0</v>
      </c>
      <c r="AT30" s="12">
        <f>+Precios!AS28*Precios!AS$3</f>
        <v>0</v>
      </c>
      <c r="AU30" s="12">
        <f>+Precios!AT28*Precios!AT$3</f>
        <v>0</v>
      </c>
      <c r="AV30" s="12"/>
      <c r="AW30" s="12">
        <f>+Precios!AV28*Precios!AV$3</f>
        <v>0</v>
      </c>
      <c r="AX30" s="12">
        <f>+Precios!AW28*Precios!AW$3</f>
        <v>0</v>
      </c>
      <c r="AY30" s="12">
        <f>+Precios!AX28*Precios!AX$3</f>
        <v>0</v>
      </c>
      <c r="AZ30" s="12">
        <f>+Precios!AY28*Precios!AY$3</f>
        <v>0</v>
      </c>
      <c r="BA30" s="12">
        <f>+Precios!AZ28*Precios!AZ$3</f>
        <v>0</v>
      </c>
      <c r="BB30" s="12">
        <f>+Precios!BA28*Precios!BA$3</f>
        <v>0</v>
      </c>
      <c r="BC30" s="12">
        <f>+Precios!BB28*Precios!BB$3</f>
        <v>0</v>
      </c>
      <c r="BD30" s="12">
        <f>+Precios!BC28*Precios!BC$3</f>
        <v>0</v>
      </c>
      <c r="BE30" s="12">
        <f>+Precios!BD28*Precios!BD$3</f>
        <v>0</v>
      </c>
      <c r="BF30" s="12">
        <f>+Precios!BE28*Precios!BE$3</f>
        <v>0</v>
      </c>
      <c r="BG30" s="12">
        <f>+Precios!BF28*Precios!BF$3</f>
        <v>0</v>
      </c>
      <c r="BH30" s="12">
        <f>+Precios!BG28*Precios!BG$3</f>
        <v>0</v>
      </c>
      <c r="BI30" s="12">
        <f>+Precios!BH28*Precios!BH$3</f>
        <v>0</v>
      </c>
      <c r="BJ30" s="12">
        <f>+Precios!BI28*Precios!BI$3</f>
        <v>0</v>
      </c>
      <c r="BK30" s="12">
        <f>+Precios!BJ28*Precios!BJ$3</f>
        <v>0</v>
      </c>
      <c r="BL30" s="12">
        <f>+Precios!BK28*Precios!BK$3</f>
        <v>0</v>
      </c>
      <c r="BM30" s="12">
        <f>+Precios!BL28*Precios!BL$3</f>
        <v>0</v>
      </c>
    </row>
    <row r="31" spans="1:65" ht="15" thickBot="1">
      <c r="A31" s="5">
        <f t="shared" si="0"/>
        <v>0</v>
      </c>
      <c r="B31" s="15">
        <f>+Precios!A29</f>
        <v>46013</v>
      </c>
      <c r="C31" s="12">
        <f>+Precios!B29*Precios!B$3</f>
        <v>0</v>
      </c>
      <c r="D31" s="12">
        <f>+Precios!C29*Precios!C$3</f>
        <v>0</v>
      </c>
      <c r="E31" s="12">
        <f>+Precios!D29*Precios!D$3</f>
        <v>0</v>
      </c>
      <c r="F31" s="12">
        <f>+Precios!E29*Precios!E$3</f>
        <v>0</v>
      </c>
      <c r="G31" s="12">
        <f>+Precios!F29*Precios!F$3</f>
        <v>0</v>
      </c>
      <c r="H31" s="12">
        <f>+Precios!G29*Precios!G$3</f>
        <v>0</v>
      </c>
      <c r="I31" s="12">
        <f>+Precios!H29*Precios!H$3</f>
        <v>0</v>
      </c>
      <c r="J31" s="12">
        <f>+Precios!I29*Precios!I$3</f>
        <v>0</v>
      </c>
      <c r="K31" s="12">
        <f>+Precios!J29*Precios!J$3</f>
        <v>0</v>
      </c>
      <c r="L31" s="12">
        <f>+Precios!K29*Precios!K$3</f>
        <v>0</v>
      </c>
      <c r="M31" s="12">
        <f>+Precios!L29*Precios!L$3</f>
        <v>0</v>
      </c>
      <c r="N31" s="12">
        <f>+Precios!M29*Precios!M$3</f>
        <v>0</v>
      </c>
      <c r="O31" s="12">
        <f>+Precios!N29*Precios!N$3</f>
        <v>0</v>
      </c>
      <c r="P31" s="12">
        <f t="shared" ref="P31:T31" si="72">+P30</f>
        <v>0</v>
      </c>
      <c r="Q31" s="12">
        <f t="shared" si="72"/>
        <v>0</v>
      </c>
      <c r="R31" s="12">
        <f t="shared" si="72"/>
        <v>0</v>
      </c>
      <c r="S31" s="12">
        <f t="shared" si="72"/>
        <v>0</v>
      </c>
      <c r="T31" s="12">
        <f t="shared" si="72"/>
        <v>0</v>
      </c>
      <c r="U31" s="12">
        <f>+Precios!T29*Precios!T$3</f>
        <v>0</v>
      </c>
      <c r="V31" s="12">
        <f t="shared" ref="V31" si="73">+V30</f>
        <v>0</v>
      </c>
      <c r="W31" s="12">
        <f>+Precios!V29*Precios!V$3</f>
        <v>0</v>
      </c>
      <c r="X31" s="12">
        <f>+Precios!W29*Precios!W$3</f>
        <v>0</v>
      </c>
      <c r="Y31" s="12">
        <f>+Precios!X29*Precios!X$3</f>
        <v>0</v>
      </c>
      <c r="Z31" s="12">
        <f>+Precios!Y29*Precios!Y$3</f>
        <v>0</v>
      </c>
      <c r="AA31" s="12">
        <f>+Precios!Z29*Precios!Z$3</f>
        <v>0</v>
      </c>
      <c r="AB31" s="12">
        <f t="shared" ref="AB31:AG31" si="74">+AB30</f>
        <v>0</v>
      </c>
      <c r="AC31" s="12">
        <f t="shared" si="74"/>
        <v>0</v>
      </c>
      <c r="AD31" s="12">
        <f t="shared" si="74"/>
        <v>0</v>
      </c>
      <c r="AE31" s="12">
        <f t="shared" si="74"/>
        <v>0</v>
      </c>
      <c r="AF31" s="12">
        <f t="shared" si="74"/>
        <v>0</v>
      </c>
      <c r="AG31" s="12">
        <f t="shared" si="74"/>
        <v>0</v>
      </c>
      <c r="AH31" s="12">
        <f>+Precios!AG29*Precios!AG$3</f>
        <v>0</v>
      </c>
      <c r="AI31" s="12">
        <f>+Precios!AH29*Precios!AH$3</f>
        <v>0</v>
      </c>
      <c r="AJ31" s="12">
        <f>+Precios!AI29*Precios!AI$3</f>
        <v>0</v>
      </c>
      <c r="AK31" s="12">
        <f>+Precios!AJ29*Precios!AJ$3</f>
        <v>0</v>
      </c>
      <c r="AL31" s="12">
        <f>+Precios!AK29*Precios!AK$3</f>
        <v>0</v>
      </c>
      <c r="AM31" s="12">
        <f>+Precios!AL29*Precios!AL$3</f>
        <v>0</v>
      </c>
      <c r="AN31" s="12"/>
      <c r="AO31" s="12"/>
      <c r="AP31" s="12">
        <f>+Precios!AO29*Precios!AO$3</f>
        <v>0</v>
      </c>
      <c r="AQ31" s="12">
        <f>+Precios!AP29*Precios!AP$3</f>
        <v>0</v>
      </c>
      <c r="AR31" s="12">
        <f>+Precios!AQ29*Precios!AQ$3</f>
        <v>0</v>
      </c>
      <c r="AS31" s="12">
        <f>+Precios!AR29*Precios!AR$3</f>
        <v>0</v>
      </c>
      <c r="AT31" s="12">
        <f>+Precios!AS29*Precios!AS$3</f>
        <v>0</v>
      </c>
      <c r="AU31" s="12">
        <f>+Precios!AT29*Precios!AT$3</f>
        <v>0</v>
      </c>
      <c r="AV31" s="12"/>
      <c r="AW31" s="12">
        <f>+Precios!AV29*Precios!AV$3</f>
        <v>0</v>
      </c>
      <c r="AX31" s="12">
        <f>+Precios!AW29*Precios!AW$3</f>
        <v>0</v>
      </c>
      <c r="AY31" s="12">
        <f>+Precios!AX29*Precios!AX$3</f>
        <v>0</v>
      </c>
      <c r="AZ31" s="12">
        <f>+Precios!AY29*Precios!AY$3</f>
        <v>0</v>
      </c>
      <c r="BA31" s="12">
        <f>+Precios!AZ29*Precios!AZ$3</f>
        <v>0</v>
      </c>
      <c r="BB31" s="12">
        <f>+Precios!BA29*Precios!BA$3</f>
        <v>0</v>
      </c>
      <c r="BC31" s="12">
        <f>+Precios!BB29*Precios!BB$3</f>
        <v>0</v>
      </c>
      <c r="BD31" s="12">
        <f>+Precios!BC29*Precios!BC$3</f>
        <v>0</v>
      </c>
      <c r="BE31" s="12">
        <f>+Precios!BD29*Precios!BD$3</f>
        <v>0</v>
      </c>
      <c r="BF31" s="12">
        <f>+Precios!BE29*Precios!BE$3</f>
        <v>0</v>
      </c>
      <c r="BG31" s="12">
        <f>+Precios!BF29*Precios!BF$3</f>
        <v>0</v>
      </c>
      <c r="BH31" s="12">
        <f>+Precios!BG29*Precios!BG$3</f>
        <v>0</v>
      </c>
      <c r="BI31" s="12">
        <f>+Precios!BH29*Precios!BH$3</f>
        <v>0</v>
      </c>
      <c r="BJ31" s="12">
        <f>+Precios!BI29*Precios!BI$3</f>
        <v>0</v>
      </c>
      <c r="BK31" s="12">
        <f>+Precios!BJ29*Precios!BJ$3</f>
        <v>0</v>
      </c>
      <c r="BL31" s="12">
        <f>+Precios!BK29*Precios!BK$3</f>
        <v>0</v>
      </c>
      <c r="BM31" s="12">
        <f>+Precios!BL29*Precios!BL$3</f>
        <v>0</v>
      </c>
    </row>
    <row r="32" spans="1:65" ht="15" thickBot="1">
      <c r="A32" s="5">
        <f t="shared" si="0"/>
        <v>0</v>
      </c>
      <c r="B32" s="15">
        <f>+Precios!A30</f>
        <v>46014</v>
      </c>
      <c r="C32" s="12">
        <f>+Precios!B30*Precios!B$3</f>
        <v>0</v>
      </c>
      <c r="D32" s="12">
        <f>+Precios!C30*Precios!C$3</f>
        <v>0</v>
      </c>
      <c r="E32" s="12">
        <f>+Precios!D30*Precios!D$3</f>
        <v>0</v>
      </c>
      <c r="F32" s="12">
        <f>+Precios!E30*Precios!E$3</f>
        <v>0</v>
      </c>
      <c r="G32" s="12">
        <f>+Precios!F30*Precios!F$3</f>
        <v>0</v>
      </c>
      <c r="H32" s="12">
        <f>+Precios!G30*Precios!G$3</f>
        <v>0</v>
      </c>
      <c r="I32" s="12">
        <f>+Precios!H30*Precios!H$3</f>
        <v>0</v>
      </c>
      <c r="J32" s="12">
        <f>+Precios!I30*Precios!I$3</f>
        <v>0</v>
      </c>
      <c r="K32" s="12">
        <f>+Precios!J30*Precios!J$3</f>
        <v>0</v>
      </c>
      <c r="L32" s="12">
        <f>+Precios!K30*Precios!K$3</f>
        <v>0</v>
      </c>
      <c r="M32" s="12">
        <f>+Precios!L30*Precios!L$3</f>
        <v>0</v>
      </c>
      <c r="N32" s="12">
        <f>+Precios!M30*Precios!M$3</f>
        <v>0</v>
      </c>
      <c r="O32" s="12">
        <f>+Precios!N30*Precios!N$3</f>
        <v>0</v>
      </c>
      <c r="P32" s="12">
        <f t="shared" ref="P32:T32" si="75">+P31</f>
        <v>0</v>
      </c>
      <c r="Q32" s="12">
        <f t="shared" si="75"/>
        <v>0</v>
      </c>
      <c r="R32" s="12">
        <f t="shared" si="75"/>
        <v>0</v>
      </c>
      <c r="S32" s="12">
        <f t="shared" si="75"/>
        <v>0</v>
      </c>
      <c r="T32" s="12">
        <f t="shared" si="75"/>
        <v>0</v>
      </c>
      <c r="U32" s="12">
        <f>+Precios!T30*Precios!T$3</f>
        <v>0</v>
      </c>
      <c r="V32" s="12">
        <f t="shared" ref="V32" si="76">+V31</f>
        <v>0</v>
      </c>
      <c r="W32" s="12">
        <f>+Precios!V30*Precios!V$3</f>
        <v>0</v>
      </c>
      <c r="X32" s="12">
        <f>+Precios!W30*Precios!W$3</f>
        <v>0</v>
      </c>
      <c r="Y32" s="12">
        <f>+Precios!X30*Precios!X$3</f>
        <v>0</v>
      </c>
      <c r="Z32" s="12">
        <f>+Precios!Y30*Precios!Y$3</f>
        <v>0</v>
      </c>
      <c r="AA32" s="12">
        <f>+Precios!Z30*Precios!Z$3</f>
        <v>0</v>
      </c>
      <c r="AB32" s="12">
        <f t="shared" ref="AB32:AG32" si="77">+AB31</f>
        <v>0</v>
      </c>
      <c r="AC32" s="12">
        <f t="shared" si="77"/>
        <v>0</v>
      </c>
      <c r="AD32" s="12">
        <f t="shared" si="77"/>
        <v>0</v>
      </c>
      <c r="AE32" s="12">
        <f t="shared" si="77"/>
        <v>0</v>
      </c>
      <c r="AF32" s="12">
        <f t="shared" si="77"/>
        <v>0</v>
      </c>
      <c r="AG32" s="12">
        <f t="shared" si="77"/>
        <v>0</v>
      </c>
      <c r="AH32" s="12">
        <f>+Precios!AG30*Precios!AG$3</f>
        <v>0</v>
      </c>
      <c r="AI32" s="12">
        <f>+Precios!AH30*Precios!AH$3</f>
        <v>0</v>
      </c>
      <c r="AJ32" s="12">
        <f>+Precios!AI30*Precios!AI$3</f>
        <v>0</v>
      </c>
      <c r="AK32" s="12">
        <f>+Precios!AJ30*Precios!AJ$3</f>
        <v>0</v>
      </c>
      <c r="AL32" s="12">
        <f>+Precios!AK30*Precios!AK$3</f>
        <v>0</v>
      </c>
      <c r="AM32" s="12">
        <f>+Precios!AL30*Precios!AL$3</f>
        <v>0</v>
      </c>
      <c r="AN32" s="12"/>
      <c r="AO32" s="12"/>
      <c r="AP32" s="12">
        <f>+Precios!AO30*Precios!AO$3</f>
        <v>0</v>
      </c>
      <c r="AQ32" s="12">
        <f>+Precios!AP30*Precios!AP$3</f>
        <v>0</v>
      </c>
      <c r="AR32" s="12">
        <f>+Precios!AQ30*Precios!AQ$3</f>
        <v>0</v>
      </c>
      <c r="AS32" s="12">
        <f>+Precios!AR30*Precios!AR$3</f>
        <v>0</v>
      </c>
      <c r="AT32" s="12">
        <f>+Precios!AS30*Precios!AS$3</f>
        <v>0</v>
      </c>
      <c r="AU32" s="12">
        <f>+Precios!AT30*Precios!AT$3</f>
        <v>0</v>
      </c>
      <c r="AV32" s="12"/>
      <c r="AW32" s="12">
        <f>+Precios!AV30*Precios!AV$3</f>
        <v>0</v>
      </c>
      <c r="AX32" s="12">
        <f>+Precios!AW30*Precios!AW$3</f>
        <v>0</v>
      </c>
      <c r="AY32" s="12">
        <f>+Precios!AX30*Precios!AX$3</f>
        <v>0</v>
      </c>
      <c r="AZ32" s="12">
        <f>+Precios!AY30*Precios!AY$3</f>
        <v>0</v>
      </c>
      <c r="BA32" s="12">
        <f>+Precios!AZ30*Precios!AZ$3</f>
        <v>0</v>
      </c>
      <c r="BB32" s="12">
        <f>+Precios!BA30*Precios!BA$3</f>
        <v>0</v>
      </c>
      <c r="BC32" s="12">
        <f>+Precios!BB30*Precios!BB$3</f>
        <v>0</v>
      </c>
      <c r="BD32" s="12">
        <f>+Precios!BC30*Precios!BC$3</f>
        <v>0</v>
      </c>
      <c r="BE32" s="12">
        <f>+Precios!BD30*Precios!BD$3</f>
        <v>0</v>
      </c>
      <c r="BF32" s="12">
        <f>+Precios!BE30*Precios!BE$3</f>
        <v>0</v>
      </c>
      <c r="BG32" s="12">
        <f>+Precios!BF30*Precios!BF$3</f>
        <v>0</v>
      </c>
      <c r="BH32" s="12">
        <f>+Precios!BG30*Precios!BG$3</f>
        <v>0</v>
      </c>
      <c r="BI32" s="12">
        <f>+Precios!BH30*Precios!BH$3</f>
        <v>0</v>
      </c>
      <c r="BJ32" s="12">
        <f>+Precios!BI30*Precios!BI$3</f>
        <v>0</v>
      </c>
      <c r="BK32" s="12">
        <f>+Precios!BJ30*Precios!BJ$3</f>
        <v>0</v>
      </c>
      <c r="BL32" s="12">
        <f>+Precios!BK30*Precios!BK$3</f>
        <v>0</v>
      </c>
      <c r="BM32" s="12">
        <f>+Precios!BL30*Precios!BL$3</f>
        <v>0</v>
      </c>
    </row>
    <row r="33" spans="1:65" ht="15" thickBot="1">
      <c r="A33" s="5">
        <f t="shared" si="0"/>
        <v>0</v>
      </c>
      <c r="B33" s="15">
        <f>+Precios!A31</f>
        <v>46015</v>
      </c>
      <c r="C33" s="12">
        <f>+Precios!B31*Precios!B$3</f>
        <v>0</v>
      </c>
      <c r="D33" s="12">
        <f>+Precios!C31*Precios!C$3</f>
        <v>0</v>
      </c>
      <c r="E33" s="12">
        <f>+Precios!D31*Precios!D$3</f>
        <v>0</v>
      </c>
      <c r="F33" s="12">
        <f>+Precios!E31*Precios!E$3</f>
        <v>0</v>
      </c>
      <c r="G33" s="12">
        <f>+Precios!F31*Precios!F$3</f>
        <v>0</v>
      </c>
      <c r="H33" s="12">
        <f>+Precios!G31*Precios!G$3</f>
        <v>0</v>
      </c>
      <c r="I33" s="12">
        <f>+Precios!H31*Precios!H$3</f>
        <v>0</v>
      </c>
      <c r="J33" s="12">
        <f>+Precios!I31*Precios!I$3</f>
        <v>0</v>
      </c>
      <c r="K33" s="12">
        <f>+Precios!J31*Precios!J$3</f>
        <v>0</v>
      </c>
      <c r="L33" s="12">
        <f>+Precios!K31*Precios!K$3</f>
        <v>0</v>
      </c>
      <c r="M33" s="12">
        <f>+Precios!L31*Precios!L$3</f>
        <v>0</v>
      </c>
      <c r="N33" s="12">
        <f>+Precios!M31*Precios!M$3</f>
        <v>0</v>
      </c>
      <c r="O33" s="12">
        <f>+Precios!N31*Precios!N$3</f>
        <v>0</v>
      </c>
      <c r="P33" s="12">
        <f t="shared" ref="P33:T33" si="78">+P32</f>
        <v>0</v>
      </c>
      <c r="Q33" s="12">
        <f t="shared" si="78"/>
        <v>0</v>
      </c>
      <c r="R33" s="12">
        <f t="shared" si="78"/>
        <v>0</v>
      </c>
      <c r="S33" s="12">
        <f t="shared" si="78"/>
        <v>0</v>
      </c>
      <c r="T33" s="12">
        <f t="shared" si="78"/>
        <v>0</v>
      </c>
      <c r="U33" s="12">
        <f>+Precios!T31*Precios!T$3</f>
        <v>0</v>
      </c>
      <c r="V33" s="12">
        <f t="shared" ref="V33" si="79">+V32</f>
        <v>0</v>
      </c>
      <c r="W33" s="12">
        <f>+Precios!V31*Precios!V$3</f>
        <v>0</v>
      </c>
      <c r="X33" s="12">
        <f>+Precios!W31*Precios!W$3</f>
        <v>0</v>
      </c>
      <c r="Y33" s="12">
        <f>+Precios!X31*Precios!X$3</f>
        <v>0</v>
      </c>
      <c r="Z33" s="12">
        <f>+Precios!Y31*Precios!Y$3</f>
        <v>0</v>
      </c>
      <c r="AA33" s="12">
        <f>+Precios!Z31*Precios!Z$3</f>
        <v>0</v>
      </c>
      <c r="AB33" s="12">
        <f t="shared" ref="AB33:AG33" si="80">+AB32</f>
        <v>0</v>
      </c>
      <c r="AC33" s="12">
        <f t="shared" si="80"/>
        <v>0</v>
      </c>
      <c r="AD33" s="12">
        <f t="shared" si="80"/>
        <v>0</v>
      </c>
      <c r="AE33" s="12">
        <f t="shared" si="80"/>
        <v>0</v>
      </c>
      <c r="AF33" s="12">
        <f t="shared" si="80"/>
        <v>0</v>
      </c>
      <c r="AG33" s="12">
        <f t="shared" si="80"/>
        <v>0</v>
      </c>
      <c r="AH33" s="12">
        <f>+Precios!AG31*Precios!AG$3</f>
        <v>0</v>
      </c>
      <c r="AI33" s="12">
        <f>+Precios!AH31*Precios!AH$3</f>
        <v>0</v>
      </c>
      <c r="AJ33" s="12">
        <f>+Precios!AI31*Precios!AI$3</f>
        <v>0</v>
      </c>
      <c r="AK33" s="12">
        <f>+Precios!AJ31*Precios!AJ$3</f>
        <v>0</v>
      </c>
      <c r="AL33" s="12">
        <f>+Precios!AK31*Precios!AK$3</f>
        <v>0</v>
      </c>
      <c r="AM33" s="12">
        <f>+Precios!AL31*Precios!AL$3</f>
        <v>0</v>
      </c>
      <c r="AN33" s="12"/>
      <c r="AO33" s="12"/>
      <c r="AP33" s="12">
        <f>+Precios!AO31*Precios!AO$3</f>
        <v>0</v>
      </c>
      <c r="AQ33" s="12">
        <f>+Precios!AP31*Precios!AP$3</f>
        <v>0</v>
      </c>
      <c r="AR33" s="12">
        <f>+Precios!AQ31*Precios!AQ$3</f>
        <v>0</v>
      </c>
      <c r="AS33" s="12">
        <f>+Precios!AR31*Precios!AR$3</f>
        <v>0</v>
      </c>
      <c r="AT33" s="12">
        <f>+Precios!AS31*Precios!AS$3</f>
        <v>0</v>
      </c>
      <c r="AU33" s="12">
        <f>+Precios!AT31*Precios!AT$3</f>
        <v>0</v>
      </c>
      <c r="AV33" s="12"/>
      <c r="AW33" s="12">
        <f>+Precios!AV31*Precios!AV$3</f>
        <v>0</v>
      </c>
      <c r="AX33" s="12">
        <f>+Precios!AW31*Precios!AW$3</f>
        <v>0</v>
      </c>
      <c r="AY33" s="12">
        <f>+Precios!AX31*Precios!AX$3</f>
        <v>0</v>
      </c>
      <c r="AZ33" s="12">
        <f>+Precios!AY31*Precios!AY$3</f>
        <v>0</v>
      </c>
      <c r="BA33" s="12">
        <f>+Precios!AZ31*Precios!AZ$3</f>
        <v>0</v>
      </c>
      <c r="BB33" s="12">
        <f>+Precios!BA31*Precios!BA$3</f>
        <v>0</v>
      </c>
      <c r="BC33" s="12">
        <f>+Precios!BB31*Precios!BB$3</f>
        <v>0</v>
      </c>
      <c r="BD33" s="12">
        <f>+Precios!BC31*Precios!BC$3</f>
        <v>0</v>
      </c>
      <c r="BE33" s="12">
        <f>+Precios!BD31*Precios!BD$3</f>
        <v>0</v>
      </c>
      <c r="BF33" s="12">
        <f>+Precios!BE31*Precios!BE$3</f>
        <v>0</v>
      </c>
      <c r="BG33" s="12">
        <f>+Precios!BF31*Precios!BF$3</f>
        <v>0</v>
      </c>
      <c r="BH33" s="12">
        <f>+Precios!BG31*Precios!BG$3</f>
        <v>0</v>
      </c>
      <c r="BI33" s="12">
        <f>+Precios!BH31*Precios!BH$3</f>
        <v>0</v>
      </c>
      <c r="BJ33" s="12">
        <f>+Precios!BI31*Precios!BI$3</f>
        <v>0</v>
      </c>
      <c r="BK33" s="12">
        <f>+Precios!BJ31*Precios!BJ$3</f>
        <v>0</v>
      </c>
      <c r="BL33" s="12">
        <f>+Precios!BK31*Precios!BK$3</f>
        <v>0</v>
      </c>
      <c r="BM33" s="12">
        <f>+Precios!BL31*Precios!BL$3</f>
        <v>0</v>
      </c>
    </row>
    <row r="34" spans="1:65" ht="15" thickBot="1">
      <c r="A34" s="5">
        <f t="shared" si="0"/>
        <v>0</v>
      </c>
      <c r="B34" s="15">
        <f>+Precios!A32</f>
        <v>46016</v>
      </c>
      <c r="C34" s="12">
        <f>+Precios!B32*Precios!B$3</f>
        <v>0</v>
      </c>
      <c r="D34" s="12">
        <f>+Precios!C32*Precios!C$3</f>
        <v>0</v>
      </c>
      <c r="E34" s="12">
        <f>+Precios!D32*Precios!D$3</f>
        <v>0</v>
      </c>
      <c r="F34" s="12">
        <f>+Precios!E32*Precios!E$3</f>
        <v>0</v>
      </c>
      <c r="G34" s="12">
        <f>+Precios!F32*Precios!F$3</f>
        <v>0</v>
      </c>
      <c r="H34" s="12">
        <f>+Precios!G32*Precios!G$3</f>
        <v>0</v>
      </c>
      <c r="I34" s="12">
        <f>+Precios!H32*Precios!H$3</f>
        <v>0</v>
      </c>
      <c r="J34" s="12">
        <f>+Precios!I32*Precios!I$3</f>
        <v>0</v>
      </c>
      <c r="K34" s="12">
        <f>+Precios!J32*Precios!J$3</f>
        <v>0</v>
      </c>
      <c r="L34" s="12">
        <f>+Precios!K32*Precios!K$3</f>
        <v>0</v>
      </c>
      <c r="M34" s="12">
        <f>+Precios!L32*Precios!L$3</f>
        <v>0</v>
      </c>
      <c r="N34" s="12">
        <f>+Precios!M32*Precios!M$3</f>
        <v>0</v>
      </c>
      <c r="O34" s="12">
        <f>+Precios!N32*Precios!N$3</f>
        <v>0</v>
      </c>
      <c r="P34" s="12">
        <f t="shared" ref="P34:T34" si="81">+P33</f>
        <v>0</v>
      </c>
      <c r="Q34" s="12">
        <f t="shared" si="81"/>
        <v>0</v>
      </c>
      <c r="R34" s="12">
        <f t="shared" si="81"/>
        <v>0</v>
      </c>
      <c r="S34" s="12">
        <f t="shared" si="81"/>
        <v>0</v>
      </c>
      <c r="T34" s="12">
        <f t="shared" si="81"/>
        <v>0</v>
      </c>
      <c r="U34" s="12">
        <f>+Precios!T32*Precios!T$3</f>
        <v>0</v>
      </c>
      <c r="V34" s="12">
        <f t="shared" ref="V34" si="82">+V33</f>
        <v>0</v>
      </c>
      <c r="W34" s="12">
        <f>+Precios!V32*Precios!V$3</f>
        <v>0</v>
      </c>
      <c r="X34" s="12">
        <f>+Precios!W32*Precios!W$3</f>
        <v>0</v>
      </c>
      <c r="Y34" s="12">
        <f>+Precios!X32*Precios!X$3</f>
        <v>0</v>
      </c>
      <c r="Z34" s="12">
        <f>+Precios!Y32*Precios!Y$3</f>
        <v>0</v>
      </c>
      <c r="AA34" s="12">
        <f>+Precios!Z32*Precios!Z$3</f>
        <v>0</v>
      </c>
      <c r="AB34" s="12">
        <f t="shared" ref="AB34:AG34" si="83">+AB33</f>
        <v>0</v>
      </c>
      <c r="AC34" s="12">
        <f t="shared" si="83"/>
        <v>0</v>
      </c>
      <c r="AD34" s="12">
        <f t="shared" si="83"/>
        <v>0</v>
      </c>
      <c r="AE34" s="12">
        <f t="shared" si="83"/>
        <v>0</v>
      </c>
      <c r="AF34" s="12">
        <f t="shared" si="83"/>
        <v>0</v>
      </c>
      <c r="AG34" s="12">
        <f t="shared" si="83"/>
        <v>0</v>
      </c>
      <c r="AH34" s="12">
        <f>+Precios!AG32*Precios!AG$3</f>
        <v>0</v>
      </c>
      <c r="AI34" s="12">
        <f>+Precios!AH32*Precios!AH$3</f>
        <v>0</v>
      </c>
      <c r="AJ34" s="12">
        <f>+Precios!AI32*Precios!AI$3</f>
        <v>0</v>
      </c>
      <c r="AK34" s="12">
        <f>+Precios!AJ32*Precios!AJ$3</f>
        <v>0</v>
      </c>
      <c r="AL34" s="12">
        <f>+Precios!AK32*Precios!AK$3</f>
        <v>0</v>
      </c>
      <c r="AM34" s="12">
        <f>+Precios!AL32*Precios!AL$3</f>
        <v>0</v>
      </c>
      <c r="AN34" s="12"/>
      <c r="AO34" s="12"/>
      <c r="AP34" s="12">
        <f>+Precios!AO32*Precios!AO$3</f>
        <v>0</v>
      </c>
      <c r="AQ34" s="12">
        <f>+Precios!AP32*Precios!AP$3</f>
        <v>0</v>
      </c>
      <c r="AR34" s="12">
        <f>+Precios!AQ32*Precios!AQ$3</f>
        <v>0</v>
      </c>
      <c r="AS34" s="12">
        <f>+Precios!AR32*Precios!AR$3</f>
        <v>0</v>
      </c>
      <c r="AT34" s="12">
        <f>+Precios!AS32*Precios!AS$3</f>
        <v>0</v>
      </c>
      <c r="AU34" s="12">
        <f>+Precios!AT32*Precios!AT$3</f>
        <v>0</v>
      </c>
      <c r="AV34" s="12"/>
      <c r="AW34" s="12">
        <f>+Precios!AV32*Precios!AV$3</f>
        <v>0</v>
      </c>
      <c r="AX34" s="12">
        <f>+Precios!AW32*Precios!AW$3</f>
        <v>0</v>
      </c>
      <c r="AY34" s="12">
        <f>+Precios!AX32*Precios!AX$3</f>
        <v>0</v>
      </c>
      <c r="AZ34" s="12">
        <f>+Precios!AY32*Precios!AY$3</f>
        <v>0</v>
      </c>
      <c r="BA34" s="12">
        <f>+Precios!AZ32*Precios!AZ$3</f>
        <v>0</v>
      </c>
      <c r="BB34" s="12">
        <f>+Precios!BA32*Precios!BA$3</f>
        <v>0</v>
      </c>
      <c r="BC34" s="12">
        <f>+Precios!BB32*Precios!BB$3</f>
        <v>0</v>
      </c>
      <c r="BD34" s="12">
        <f>+Precios!BC32*Precios!BC$3</f>
        <v>0</v>
      </c>
      <c r="BE34" s="12">
        <f>+Precios!BD32*Precios!BD$3</f>
        <v>0</v>
      </c>
      <c r="BF34" s="12">
        <f>+Precios!BE32*Precios!BE$3</f>
        <v>0</v>
      </c>
      <c r="BG34" s="12">
        <f>+Precios!BF32*Precios!BF$3</f>
        <v>0</v>
      </c>
      <c r="BH34" s="12">
        <f>+Precios!BG32*Precios!BG$3</f>
        <v>0</v>
      </c>
      <c r="BI34" s="12">
        <f>+Precios!BH32*Precios!BH$3</f>
        <v>0</v>
      </c>
      <c r="BJ34" s="12">
        <f>+Precios!BI32*Precios!BI$3</f>
        <v>0</v>
      </c>
      <c r="BK34" s="12">
        <f>+Precios!BJ32*Precios!BJ$3</f>
        <v>0</v>
      </c>
      <c r="BL34" s="12">
        <f>+Precios!BK32*Precios!BK$3</f>
        <v>0</v>
      </c>
      <c r="BM34" s="12">
        <f>+Precios!BL32*Precios!BL$3</f>
        <v>0</v>
      </c>
    </row>
    <row r="35" spans="1:65" ht="15" thickBot="1">
      <c r="A35" s="5">
        <f t="shared" si="0"/>
        <v>0</v>
      </c>
      <c r="B35" s="15">
        <f>+Precios!A33</f>
        <v>46017</v>
      </c>
      <c r="C35" s="12">
        <f>+Precios!B33*Precios!B$3</f>
        <v>0</v>
      </c>
      <c r="D35" s="12">
        <f>+Precios!C33*Precios!C$3</f>
        <v>0</v>
      </c>
      <c r="E35" s="12">
        <f>+Precios!D33*Precios!D$3</f>
        <v>0</v>
      </c>
      <c r="F35" s="12">
        <f>+Precios!E33*Precios!E$3</f>
        <v>0</v>
      </c>
      <c r="G35" s="12">
        <f>+Precios!F33*Precios!F$3</f>
        <v>0</v>
      </c>
      <c r="H35" s="12">
        <f>+Precios!G33*Precios!G$3</f>
        <v>0</v>
      </c>
      <c r="I35" s="12">
        <f>+Precios!H33*Precios!H$3</f>
        <v>0</v>
      </c>
      <c r="J35" s="12">
        <f>+Precios!I33*Precios!I$3</f>
        <v>0</v>
      </c>
      <c r="K35" s="12">
        <f>+Precios!J33*Precios!J$3</f>
        <v>0</v>
      </c>
      <c r="L35" s="12">
        <f>+Precios!K33*Precios!K$3</f>
        <v>0</v>
      </c>
      <c r="M35" s="12">
        <f>+Precios!L33*Precios!L$3</f>
        <v>0</v>
      </c>
      <c r="N35" s="12">
        <f>+Precios!M33*Precios!M$3</f>
        <v>0</v>
      </c>
      <c r="O35" s="12">
        <f>+Precios!N33*Precios!N$3</f>
        <v>0</v>
      </c>
      <c r="P35" s="12">
        <f t="shared" ref="P35:T35" si="84">+P34</f>
        <v>0</v>
      </c>
      <c r="Q35" s="12">
        <f t="shared" si="84"/>
        <v>0</v>
      </c>
      <c r="R35" s="12">
        <f t="shared" si="84"/>
        <v>0</v>
      </c>
      <c r="S35" s="12">
        <f t="shared" si="84"/>
        <v>0</v>
      </c>
      <c r="T35" s="12">
        <f t="shared" si="84"/>
        <v>0</v>
      </c>
      <c r="U35" s="12">
        <f>+Precios!T33*Precios!T$3</f>
        <v>0</v>
      </c>
      <c r="V35" s="12">
        <f t="shared" ref="V35" si="85">+V34</f>
        <v>0</v>
      </c>
      <c r="W35" s="12">
        <f>+Precios!V33*Precios!V$3</f>
        <v>0</v>
      </c>
      <c r="X35" s="12">
        <f>+Precios!W33*Precios!W$3</f>
        <v>0</v>
      </c>
      <c r="Y35" s="12">
        <f>+Precios!X33*Precios!X$3</f>
        <v>0</v>
      </c>
      <c r="Z35" s="12">
        <f>+Precios!Y33*Precios!Y$3</f>
        <v>0</v>
      </c>
      <c r="AA35" s="12">
        <f>+Precios!Z33*Precios!Z$3</f>
        <v>0</v>
      </c>
      <c r="AB35" s="12">
        <f t="shared" ref="AB35:AG35" si="86">+AB34</f>
        <v>0</v>
      </c>
      <c r="AC35" s="12">
        <f t="shared" si="86"/>
        <v>0</v>
      </c>
      <c r="AD35" s="12">
        <f t="shared" si="86"/>
        <v>0</v>
      </c>
      <c r="AE35" s="12">
        <f t="shared" si="86"/>
        <v>0</v>
      </c>
      <c r="AF35" s="12">
        <f t="shared" si="86"/>
        <v>0</v>
      </c>
      <c r="AG35" s="12">
        <f t="shared" si="86"/>
        <v>0</v>
      </c>
      <c r="AH35" s="12">
        <f>+Precios!AG33*Precios!AG$3</f>
        <v>0</v>
      </c>
      <c r="AI35" s="12">
        <f>+Precios!AH33*Precios!AH$3</f>
        <v>0</v>
      </c>
      <c r="AJ35" s="12">
        <f>+Precios!AI33*Precios!AI$3</f>
        <v>0</v>
      </c>
      <c r="AK35" s="12">
        <f>+Precios!AJ33*Precios!AJ$3</f>
        <v>0</v>
      </c>
      <c r="AL35" s="12">
        <f>+Precios!AK33*Precios!AK$3</f>
        <v>0</v>
      </c>
      <c r="AM35" s="12">
        <f>+Precios!AL33*Precios!AL$3</f>
        <v>0</v>
      </c>
      <c r="AN35" s="12"/>
      <c r="AO35" s="12"/>
      <c r="AP35" s="12">
        <f>+Precios!AO33*Precios!AO$3</f>
        <v>0</v>
      </c>
      <c r="AQ35" s="12">
        <f>+Precios!AP33*Precios!AP$3</f>
        <v>0</v>
      </c>
      <c r="AR35" s="12">
        <f>+Precios!AQ33*Precios!AQ$3</f>
        <v>0</v>
      </c>
      <c r="AS35" s="12">
        <f>+Precios!AR33*Precios!AR$3</f>
        <v>0</v>
      </c>
      <c r="AT35" s="12">
        <f>+Precios!AS33*Precios!AS$3</f>
        <v>0</v>
      </c>
      <c r="AU35" s="12">
        <f>+Precios!AT33*Precios!AT$3</f>
        <v>0</v>
      </c>
      <c r="AV35" s="12"/>
      <c r="AW35" s="12">
        <f>+Precios!AV33*Precios!AV$3</f>
        <v>0</v>
      </c>
      <c r="AX35" s="12">
        <f>+Precios!AW33*Precios!AW$3</f>
        <v>0</v>
      </c>
      <c r="AY35" s="12">
        <f>+Precios!AX33*Precios!AX$3</f>
        <v>0</v>
      </c>
      <c r="AZ35" s="12">
        <f>+Precios!AY33*Precios!AY$3</f>
        <v>0</v>
      </c>
      <c r="BA35" s="12">
        <f>+Precios!AZ33*Precios!AZ$3</f>
        <v>0</v>
      </c>
      <c r="BB35" s="12">
        <f>+Precios!BA33*Precios!BA$3</f>
        <v>0</v>
      </c>
      <c r="BC35" s="12">
        <f>+Precios!BB33*Precios!BB$3</f>
        <v>0</v>
      </c>
      <c r="BD35" s="12">
        <f>+Precios!BC33*Precios!BC$3</f>
        <v>0</v>
      </c>
      <c r="BE35" s="12">
        <f>+Precios!BD33*Precios!BD$3</f>
        <v>0</v>
      </c>
      <c r="BF35" s="12">
        <f>+Precios!BE33*Precios!BE$3</f>
        <v>0</v>
      </c>
      <c r="BG35" s="12">
        <f>+Precios!BF33*Precios!BF$3</f>
        <v>0</v>
      </c>
      <c r="BH35" s="12">
        <f>+Precios!BG33*Precios!BG$3</f>
        <v>0</v>
      </c>
      <c r="BI35" s="12">
        <f>+Precios!BH33*Precios!BH$3</f>
        <v>0</v>
      </c>
      <c r="BJ35" s="12">
        <f>+Precios!BI33*Precios!BI$3</f>
        <v>0</v>
      </c>
      <c r="BK35" s="12">
        <f>+Precios!BJ33*Precios!BJ$3</f>
        <v>0</v>
      </c>
      <c r="BL35" s="12">
        <f>+Precios!BK33*Precios!BK$3</f>
        <v>0</v>
      </c>
      <c r="BM35" s="12">
        <f>+Precios!BL33*Precios!BL$3</f>
        <v>0</v>
      </c>
    </row>
    <row r="36" spans="1:65" ht="15" thickBot="1">
      <c r="A36" s="5">
        <f t="shared" si="0"/>
        <v>0</v>
      </c>
      <c r="B36" s="15">
        <f>+Precios!A34</f>
        <v>46020</v>
      </c>
      <c r="C36" s="12">
        <f>+Precios!B34*Precios!B$3</f>
        <v>0</v>
      </c>
      <c r="D36" s="12">
        <f>+Precios!C34*Precios!C$3</f>
        <v>0</v>
      </c>
      <c r="E36" s="12">
        <f>+Precios!D34*Precios!D$3</f>
        <v>0</v>
      </c>
      <c r="F36" s="12">
        <f>+Precios!E34*Precios!E$3</f>
        <v>0</v>
      </c>
      <c r="G36" s="12">
        <f>+Precios!F34*Precios!F$3</f>
        <v>0</v>
      </c>
      <c r="H36" s="12">
        <f>+Precios!G34*Precios!G$3</f>
        <v>0</v>
      </c>
      <c r="I36" s="12">
        <f>+Precios!H34*Precios!H$3</f>
        <v>0</v>
      </c>
      <c r="J36" s="12">
        <f>+Precios!I34*Precios!I$3</f>
        <v>0</v>
      </c>
      <c r="K36" s="12">
        <f>+Precios!J34*Precios!J$3</f>
        <v>0</v>
      </c>
      <c r="L36" s="12">
        <f>+Precios!K34*Precios!K$3</f>
        <v>0</v>
      </c>
      <c r="M36" s="12">
        <f>+Precios!L34*Precios!L$3</f>
        <v>0</v>
      </c>
      <c r="N36" s="12">
        <f>+Precios!M34*Precios!M$3</f>
        <v>0</v>
      </c>
      <c r="O36" s="12">
        <f>+Precios!N34*Precios!N$3</f>
        <v>0</v>
      </c>
      <c r="P36" s="12">
        <f t="shared" ref="P36:T36" si="87">+P35</f>
        <v>0</v>
      </c>
      <c r="Q36" s="12">
        <f t="shared" si="87"/>
        <v>0</v>
      </c>
      <c r="R36" s="12">
        <f t="shared" si="87"/>
        <v>0</v>
      </c>
      <c r="S36" s="12">
        <f t="shared" si="87"/>
        <v>0</v>
      </c>
      <c r="T36" s="12">
        <f t="shared" si="87"/>
        <v>0</v>
      </c>
      <c r="U36" s="12">
        <f>+Precios!T34*Precios!T$3</f>
        <v>0</v>
      </c>
      <c r="V36" s="12">
        <f t="shared" ref="V36" si="88">+V35</f>
        <v>0</v>
      </c>
      <c r="W36" s="12">
        <f>+Precios!V34*Precios!V$3</f>
        <v>0</v>
      </c>
      <c r="X36" s="12">
        <f>+Precios!W34*Precios!W$3</f>
        <v>0</v>
      </c>
      <c r="Y36" s="12">
        <f>+Precios!X34*Precios!X$3</f>
        <v>0</v>
      </c>
      <c r="Z36" s="12">
        <f>+Precios!Y34*Precios!Y$3</f>
        <v>0</v>
      </c>
      <c r="AA36" s="12">
        <f>+Precios!Z34*Precios!Z$3</f>
        <v>0</v>
      </c>
      <c r="AB36" s="12">
        <f t="shared" ref="AB36:AG36" si="89">+AB35</f>
        <v>0</v>
      </c>
      <c r="AC36" s="12">
        <f t="shared" si="89"/>
        <v>0</v>
      </c>
      <c r="AD36" s="12">
        <f t="shared" si="89"/>
        <v>0</v>
      </c>
      <c r="AE36" s="12">
        <f t="shared" si="89"/>
        <v>0</v>
      </c>
      <c r="AF36" s="12">
        <f t="shared" si="89"/>
        <v>0</v>
      </c>
      <c r="AG36" s="12">
        <f t="shared" si="89"/>
        <v>0</v>
      </c>
      <c r="AH36" s="12">
        <f>+Precios!AG34*Precios!AG$3</f>
        <v>0</v>
      </c>
      <c r="AI36" s="12">
        <f>+Precios!AH34*Precios!AH$3</f>
        <v>0</v>
      </c>
      <c r="AJ36" s="12">
        <f>+Precios!AI34*Precios!AI$3</f>
        <v>0</v>
      </c>
      <c r="AK36" s="12">
        <f>+Precios!AJ34*Precios!AJ$3</f>
        <v>0</v>
      </c>
      <c r="AL36" s="12">
        <f>+Precios!AK34*Precios!AK$3</f>
        <v>0</v>
      </c>
      <c r="AM36" s="12">
        <f>+Precios!AL34*Precios!AL$3</f>
        <v>0</v>
      </c>
      <c r="AN36" s="12"/>
      <c r="AO36" s="12"/>
      <c r="AP36" s="12">
        <f>+Precios!AO34*Precios!AO$3</f>
        <v>0</v>
      </c>
      <c r="AQ36" s="12">
        <f>+Precios!AP34*Precios!AP$3</f>
        <v>0</v>
      </c>
      <c r="AR36" s="12">
        <f>+Precios!AQ34*Precios!AQ$3</f>
        <v>0</v>
      </c>
      <c r="AS36" s="12">
        <f>+Precios!AR34*Precios!AR$3</f>
        <v>0</v>
      </c>
      <c r="AT36" s="12">
        <f>+Precios!AS34*Precios!AS$3</f>
        <v>0</v>
      </c>
      <c r="AU36" s="12">
        <f>+Precios!AT34*Precios!AT$3</f>
        <v>0</v>
      </c>
      <c r="AV36" s="12"/>
      <c r="AW36" s="12">
        <f>+Precios!AV34*Precios!AV$3</f>
        <v>0</v>
      </c>
      <c r="AX36" s="12">
        <f>+Precios!AW34*Precios!AW$3</f>
        <v>0</v>
      </c>
      <c r="AY36" s="12">
        <f>+Precios!AX34*Precios!AX$3</f>
        <v>0</v>
      </c>
      <c r="AZ36" s="12">
        <f>+Precios!AY34*Precios!AY$3</f>
        <v>0</v>
      </c>
      <c r="BA36" s="12">
        <f>+Precios!AZ34*Precios!AZ$3</f>
        <v>0</v>
      </c>
      <c r="BB36" s="12">
        <f>+Precios!BA34*Precios!BA$3</f>
        <v>0</v>
      </c>
      <c r="BC36" s="12">
        <f>+Precios!BB34*Precios!BB$3</f>
        <v>0</v>
      </c>
      <c r="BD36" s="12">
        <f>+Precios!BC34*Precios!BC$3</f>
        <v>0</v>
      </c>
      <c r="BE36" s="12">
        <f>+Precios!BD34*Precios!BD$3</f>
        <v>0</v>
      </c>
      <c r="BF36" s="12">
        <f>+Precios!BE34*Precios!BE$3</f>
        <v>0</v>
      </c>
      <c r="BG36" s="12">
        <f>+Precios!BF34*Precios!BF$3</f>
        <v>0</v>
      </c>
      <c r="BH36" s="12">
        <f>+Precios!BG34*Precios!BG$3</f>
        <v>0</v>
      </c>
      <c r="BI36" s="12">
        <f>+Precios!BH34*Precios!BH$3</f>
        <v>0</v>
      </c>
      <c r="BJ36" s="12">
        <f>+Precios!BI34*Precios!BI$3</f>
        <v>0</v>
      </c>
      <c r="BK36" s="12">
        <f>+Precios!BJ34*Precios!BJ$3</f>
        <v>0</v>
      </c>
      <c r="BL36" s="12">
        <f>+Precios!BK34*Precios!BK$3</f>
        <v>0</v>
      </c>
      <c r="BM36" s="12">
        <f>+Precios!BL34*Precios!BL$3</f>
        <v>0</v>
      </c>
    </row>
    <row r="37" spans="1:65" ht="15" thickBot="1">
      <c r="A37" s="5">
        <f t="shared" si="0"/>
        <v>0</v>
      </c>
      <c r="B37" s="15">
        <f>+Precios!A35</f>
        <v>46021</v>
      </c>
      <c r="C37" s="12">
        <f>+Precios!B35*Precios!B$3</f>
        <v>0</v>
      </c>
      <c r="D37" s="12">
        <f>+Precios!C35*Precios!C$3</f>
        <v>0</v>
      </c>
      <c r="E37" s="12">
        <f>+Precios!D35*Precios!D$3</f>
        <v>0</v>
      </c>
      <c r="F37" s="12">
        <f>+Precios!E35*Precios!E$3</f>
        <v>0</v>
      </c>
      <c r="G37" s="12">
        <f>+Precios!F35*Precios!F$3</f>
        <v>0</v>
      </c>
      <c r="H37" s="12">
        <f>+Precios!G35*Precios!G$3</f>
        <v>0</v>
      </c>
      <c r="I37" s="12">
        <f>+Precios!H35*Precios!H$3</f>
        <v>0</v>
      </c>
      <c r="J37" s="12">
        <f>+Precios!I35*Precios!I$3</f>
        <v>0</v>
      </c>
      <c r="K37" s="12">
        <f>+Precios!J35*Precios!J$3</f>
        <v>0</v>
      </c>
      <c r="L37" s="12">
        <f>+Precios!K35*Precios!K$3</f>
        <v>0</v>
      </c>
      <c r="M37" s="12">
        <f>+Precios!L35*Precios!L$3</f>
        <v>0</v>
      </c>
      <c r="N37" s="12">
        <f>+Precios!M35*Precios!M$3</f>
        <v>0</v>
      </c>
      <c r="O37" s="12">
        <f>+Precios!N35*Precios!N$3</f>
        <v>0</v>
      </c>
      <c r="P37" s="12">
        <f t="shared" ref="P37:T37" si="90">+P36</f>
        <v>0</v>
      </c>
      <c r="Q37" s="12">
        <f t="shared" si="90"/>
        <v>0</v>
      </c>
      <c r="R37" s="12">
        <f t="shared" si="90"/>
        <v>0</v>
      </c>
      <c r="S37" s="12">
        <f t="shared" si="90"/>
        <v>0</v>
      </c>
      <c r="T37" s="12">
        <f t="shared" si="90"/>
        <v>0</v>
      </c>
      <c r="U37" s="12">
        <f>+Precios!T35*Precios!T$3</f>
        <v>0</v>
      </c>
      <c r="V37" s="12">
        <f t="shared" ref="V37" si="91">+V36</f>
        <v>0</v>
      </c>
      <c r="W37" s="12">
        <f>+Precios!V35*Precios!V$3</f>
        <v>0</v>
      </c>
      <c r="X37" s="12">
        <f>+Precios!W35*Precios!W$3</f>
        <v>0</v>
      </c>
      <c r="Y37" s="12">
        <f>+Precios!X35*Precios!X$3</f>
        <v>0</v>
      </c>
      <c r="Z37" s="12">
        <f>+Precios!Y35*Precios!Y$3</f>
        <v>0</v>
      </c>
      <c r="AA37" s="12">
        <f>+Precios!Z35*Precios!Z$3</f>
        <v>0</v>
      </c>
      <c r="AB37" s="12">
        <f t="shared" ref="AB37:AG37" si="92">+AB36</f>
        <v>0</v>
      </c>
      <c r="AC37" s="12">
        <f t="shared" si="92"/>
        <v>0</v>
      </c>
      <c r="AD37" s="12">
        <f t="shared" si="92"/>
        <v>0</v>
      </c>
      <c r="AE37" s="12">
        <f t="shared" si="92"/>
        <v>0</v>
      </c>
      <c r="AF37" s="12">
        <f t="shared" si="92"/>
        <v>0</v>
      </c>
      <c r="AG37" s="12">
        <f t="shared" si="92"/>
        <v>0</v>
      </c>
      <c r="AH37" s="12">
        <f>+Precios!AG35*Precios!AG$3</f>
        <v>0</v>
      </c>
      <c r="AI37" s="12">
        <f>+Precios!AH35*Precios!AH$3</f>
        <v>0</v>
      </c>
      <c r="AJ37" s="12">
        <f>+Precios!AI35*Precios!AI$3</f>
        <v>0</v>
      </c>
      <c r="AK37" s="12">
        <f>+Precios!AJ35*Precios!AJ$3</f>
        <v>0</v>
      </c>
      <c r="AL37" s="12">
        <f>+Precios!AK35*Precios!AK$3</f>
        <v>0</v>
      </c>
      <c r="AM37" s="12">
        <f>+Precios!AL35*Precios!AL$3</f>
        <v>0</v>
      </c>
      <c r="AN37" s="12"/>
      <c r="AO37" s="12"/>
      <c r="AP37" s="12">
        <f>+Precios!AO35*Precios!AO$3</f>
        <v>0</v>
      </c>
      <c r="AQ37" s="12">
        <f>+Precios!AP35*Precios!AP$3</f>
        <v>0</v>
      </c>
      <c r="AR37" s="12">
        <f>+Precios!AQ35*Precios!AQ$3</f>
        <v>0</v>
      </c>
      <c r="AS37" s="12">
        <f>+Precios!AR35*Precios!AR$3</f>
        <v>0</v>
      </c>
      <c r="AT37" s="12">
        <f>+Precios!AS35*Precios!AS$3</f>
        <v>0</v>
      </c>
      <c r="AU37" s="12">
        <f>+Precios!AT35*Precios!AT$3</f>
        <v>0</v>
      </c>
      <c r="AV37" s="12"/>
      <c r="AW37" s="12">
        <f>+Precios!AV35*Precios!AV$3</f>
        <v>0</v>
      </c>
      <c r="AX37" s="12">
        <f>+Precios!AW35*Precios!AW$3</f>
        <v>0</v>
      </c>
      <c r="AY37" s="12">
        <f>+Precios!AX35*Precios!AX$3</f>
        <v>0</v>
      </c>
      <c r="AZ37" s="12">
        <f>+Precios!AY35*Precios!AY$3</f>
        <v>0</v>
      </c>
      <c r="BA37" s="12">
        <f>+Precios!AZ35*Precios!AZ$3</f>
        <v>0</v>
      </c>
      <c r="BB37" s="12">
        <f>+Precios!BA35*Precios!BA$3</f>
        <v>0</v>
      </c>
      <c r="BC37" s="12">
        <f>+Precios!BB35*Precios!BB$3</f>
        <v>0</v>
      </c>
      <c r="BD37" s="12">
        <f>+Precios!BC35*Precios!BC$3</f>
        <v>0</v>
      </c>
      <c r="BE37" s="12">
        <f>+Precios!BD35*Precios!BD$3</f>
        <v>0</v>
      </c>
      <c r="BF37" s="12">
        <f>+Precios!BE35*Precios!BE$3</f>
        <v>0</v>
      </c>
      <c r="BG37" s="12">
        <f>+Precios!BF35*Precios!BF$3</f>
        <v>0</v>
      </c>
      <c r="BH37" s="12">
        <f>+Precios!BG35*Precios!BG$3</f>
        <v>0</v>
      </c>
      <c r="BI37" s="12">
        <f>+Precios!BH35*Precios!BH$3</f>
        <v>0</v>
      </c>
      <c r="BJ37" s="12">
        <f>+Precios!BI35*Precios!BI$3</f>
        <v>0</v>
      </c>
      <c r="BK37" s="12">
        <f>+Precios!BJ35*Precios!BJ$3</f>
        <v>0</v>
      </c>
      <c r="BL37" s="12">
        <f>+Precios!BK35*Precios!BK$3</f>
        <v>0</v>
      </c>
      <c r="BM37" s="12">
        <f>+Precios!BL35*Precios!BL$3</f>
        <v>0</v>
      </c>
    </row>
    <row r="38" spans="1:65" ht="15" thickBot="1">
      <c r="A38" s="5">
        <f t="shared" si="0"/>
        <v>0</v>
      </c>
      <c r="B38" s="15">
        <f>+Precios!A36</f>
        <v>46022</v>
      </c>
      <c r="C38" s="12">
        <f>+Precios!B36*Precios!B$3</f>
        <v>0</v>
      </c>
      <c r="D38" s="12">
        <f>+Precios!C36*Precios!C$3</f>
        <v>0</v>
      </c>
      <c r="E38" s="12">
        <f>+Precios!D36*Precios!D$3</f>
        <v>0</v>
      </c>
      <c r="F38" s="12">
        <f>+Precios!E36*Precios!E$3</f>
        <v>0</v>
      </c>
      <c r="G38" s="12">
        <f>+Precios!F36*Precios!F$3</f>
        <v>0</v>
      </c>
      <c r="H38" s="12">
        <f>+Precios!G36*Precios!G$3</f>
        <v>0</v>
      </c>
      <c r="I38" s="12">
        <f>+Precios!H36*Precios!H$3</f>
        <v>0</v>
      </c>
      <c r="J38" s="12">
        <f>+Precios!I36*Precios!I$3</f>
        <v>0</v>
      </c>
      <c r="K38" s="12">
        <f>+Precios!J36*Precios!J$3</f>
        <v>0</v>
      </c>
      <c r="L38" s="12">
        <f>+Precios!K36*Precios!K$3</f>
        <v>0</v>
      </c>
      <c r="M38" s="12">
        <f>+Precios!L36*Precios!L$3</f>
        <v>0</v>
      </c>
      <c r="N38" s="12">
        <f>+Precios!M36*Precios!M$3</f>
        <v>0</v>
      </c>
      <c r="O38" s="12">
        <f>+Precios!N36*Precios!N$3</f>
        <v>0</v>
      </c>
      <c r="P38" s="12">
        <f t="shared" ref="P38:T38" si="93">+P37</f>
        <v>0</v>
      </c>
      <c r="Q38" s="12">
        <f t="shared" si="93"/>
        <v>0</v>
      </c>
      <c r="R38" s="12">
        <f t="shared" si="93"/>
        <v>0</v>
      </c>
      <c r="S38" s="12">
        <f t="shared" si="93"/>
        <v>0</v>
      </c>
      <c r="T38" s="12">
        <f t="shared" si="93"/>
        <v>0</v>
      </c>
      <c r="U38" s="12">
        <f>+Precios!T36*Precios!T$3</f>
        <v>0</v>
      </c>
      <c r="V38" s="12">
        <f t="shared" ref="V38" si="94">+V37</f>
        <v>0</v>
      </c>
      <c r="W38" s="12">
        <f>+Precios!V36*Precios!V$3</f>
        <v>0</v>
      </c>
      <c r="X38" s="12">
        <f>+Precios!W36*Precios!W$3</f>
        <v>0</v>
      </c>
      <c r="Y38" s="12">
        <f>+Precios!X36*Precios!X$3</f>
        <v>0</v>
      </c>
      <c r="Z38" s="12">
        <f>+Precios!Y36*Precios!Y$3</f>
        <v>0</v>
      </c>
      <c r="AA38" s="12">
        <f>+Precios!Z36*Precios!Z$3</f>
        <v>0</v>
      </c>
      <c r="AB38" s="12">
        <f t="shared" ref="AB38:AG38" si="95">+AB37</f>
        <v>0</v>
      </c>
      <c r="AC38" s="12">
        <f t="shared" si="95"/>
        <v>0</v>
      </c>
      <c r="AD38" s="12">
        <f t="shared" si="95"/>
        <v>0</v>
      </c>
      <c r="AE38" s="12">
        <f t="shared" si="95"/>
        <v>0</v>
      </c>
      <c r="AF38" s="12">
        <f t="shared" si="95"/>
        <v>0</v>
      </c>
      <c r="AG38" s="12">
        <f t="shared" si="95"/>
        <v>0</v>
      </c>
      <c r="AH38" s="12">
        <f>+Precios!AG36*Precios!AG$3</f>
        <v>0</v>
      </c>
      <c r="AI38" s="12">
        <f>+Precios!AH36*Precios!AH$3</f>
        <v>0</v>
      </c>
      <c r="AJ38" s="12">
        <f>+Precios!AI36*Precios!AI$3</f>
        <v>0</v>
      </c>
      <c r="AK38" s="12">
        <f>+Precios!AJ36*Precios!AJ$3</f>
        <v>0</v>
      </c>
      <c r="AL38" s="12">
        <f>+Precios!AK36*Precios!AK$3</f>
        <v>0</v>
      </c>
      <c r="AM38" s="12">
        <f>+Precios!AL36*Precios!AL$3</f>
        <v>0</v>
      </c>
      <c r="AN38" s="12"/>
      <c r="AO38" s="12"/>
      <c r="AP38" s="12">
        <f>+Precios!AO36*Precios!AO$3</f>
        <v>0</v>
      </c>
      <c r="AQ38" s="12">
        <f>+Precios!AP36*Precios!AP$3</f>
        <v>0</v>
      </c>
      <c r="AR38" s="12">
        <f>+Precios!AQ36*Precios!AQ$3</f>
        <v>0</v>
      </c>
      <c r="AS38" s="12">
        <f>+Precios!AR36*Precios!AR$3</f>
        <v>0</v>
      </c>
      <c r="AT38" s="12">
        <f>+Precios!AS36*Precios!AS$3</f>
        <v>0</v>
      </c>
      <c r="AU38" s="12">
        <f>+Precios!AT36*Precios!AT$3</f>
        <v>0</v>
      </c>
      <c r="AV38" s="12"/>
      <c r="AW38" s="12">
        <f>+Precios!AV36*Precios!AV$3</f>
        <v>0</v>
      </c>
      <c r="AX38" s="12">
        <f>+Precios!AW36*Precios!AW$3</f>
        <v>0</v>
      </c>
      <c r="AY38" s="12">
        <f>+Precios!AX36*Precios!AX$3</f>
        <v>0</v>
      </c>
      <c r="AZ38" s="12">
        <f>+Precios!AY36*Precios!AY$3</f>
        <v>0</v>
      </c>
      <c r="BA38" s="12">
        <f>+Precios!AZ36*Precios!AZ$3</f>
        <v>0</v>
      </c>
      <c r="BB38" s="12">
        <f>+Precios!BA36*Precios!BA$3</f>
        <v>0</v>
      </c>
      <c r="BC38" s="12">
        <f>+Precios!BB36*Precios!BB$3</f>
        <v>0</v>
      </c>
      <c r="BD38" s="12">
        <f>+Precios!BC36*Precios!BC$3</f>
        <v>0</v>
      </c>
      <c r="BE38" s="12">
        <f>+Precios!BD36*Precios!BD$3</f>
        <v>0</v>
      </c>
      <c r="BF38" s="12">
        <f>+Precios!BE36*Precios!BE$3</f>
        <v>0</v>
      </c>
      <c r="BG38" s="12">
        <f>+Precios!BF36*Precios!BF$3</f>
        <v>0</v>
      </c>
      <c r="BH38" s="12">
        <f>+Precios!BG36*Precios!BG$3</f>
        <v>0</v>
      </c>
      <c r="BI38" s="12">
        <f>+Precios!BH36*Precios!BH$3</f>
        <v>0</v>
      </c>
      <c r="BJ38" s="12">
        <f>+Precios!BI36*Precios!BI$3</f>
        <v>0</v>
      </c>
      <c r="BK38" s="12">
        <f>+Precios!BJ36*Precios!BJ$3</f>
        <v>0</v>
      </c>
      <c r="BL38" s="12">
        <f>+Precios!BK36*Precios!BK$3</f>
        <v>0</v>
      </c>
      <c r="BM38" s="12">
        <f>+Precios!BL36*Precios!BL$3</f>
        <v>0</v>
      </c>
    </row>
    <row r="39" spans="1:65" ht="15" thickBot="1">
      <c r="A39" s="5">
        <f t="shared" ref="A39:A70" si="96">+SUM(C39:XFD39)</f>
        <v>0</v>
      </c>
      <c r="B39" s="15">
        <f>+Precios!A37</f>
        <v>46023</v>
      </c>
      <c r="C39" s="12">
        <f>+Precios!B37*Precios!B$3</f>
        <v>0</v>
      </c>
      <c r="D39" s="12">
        <f>+Precios!C37*Precios!C$3</f>
        <v>0</v>
      </c>
      <c r="E39" s="12">
        <f>+Precios!D37*Precios!D$3</f>
        <v>0</v>
      </c>
      <c r="F39" s="12">
        <f>+Precios!E37*Precios!E$3</f>
        <v>0</v>
      </c>
      <c r="G39" s="12">
        <f>+Precios!F37*Precios!F$3</f>
        <v>0</v>
      </c>
      <c r="H39" s="12">
        <f>+Precios!G37*Precios!G$3</f>
        <v>0</v>
      </c>
      <c r="I39" s="12">
        <f>+Precios!H37*Precios!H$3</f>
        <v>0</v>
      </c>
      <c r="J39" s="12">
        <f>+Precios!I37*Precios!I$3</f>
        <v>0</v>
      </c>
      <c r="K39" s="12">
        <f>+Precios!J37*Precios!J$3</f>
        <v>0</v>
      </c>
      <c r="L39" s="12">
        <f>+Precios!K37*Precios!K$3</f>
        <v>0</v>
      </c>
      <c r="M39" s="12">
        <f>+Precios!L37*Precios!L$3</f>
        <v>0</v>
      </c>
      <c r="N39" s="12">
        <f>+Precios!M37*Precios!M$3</f>
        <v>0</v>
      </c>
      <c r="O39" s="12">
        <f>+Precios!N37*Precios!N$3</f>
        <v>0</v>
      </c>
      <c r="P39" s="12">
        <f t="shared" ref="P39:T39" si="97">+P38</f>
        <v>0</v>
      </c>
      <c r="Q39" s="12">
        <f t="shared" si="97"/>
        <v>0</v>
      </c>
      <c r="R39" s="12">
        <f t="shared" si="97"/>
        <v>0</v>
      </c>
      <c r="S39" s="12">
        <f t="shared" si="97"/>
        <v>0</v>
      </c>
      <c r="T39" s="12">
        <f t="shared" si="97"/>
        <v>0</v>
      </c>
      <c r="U39" s="12">
        <f>+Precios!T37*Precios!T$3</f>
        <v>0</v>
      </c>
      <c r="V39" s="12">
        <f t="shared" ref="V39" si="98">+V38</f>
        <v>0</v>
      </c>
      <c r="W39" s="12">
        <f>+Precios!V37*Precios!V$3</f>
        <v>0</v>
      </c>
      <c r="X39" s="12">
        <f>+Precios!W37*Precios!W$3</f>
        <v>0</v>
      </c>
      <c r="Y39" s="12">
        <f>+Precios!X37*Precios!X$3</f>
        <v>0</v>
      </c>
      <c r="Z39" s="12">
        <f>+Precios!Y37*Precios!Y$3</f>
        <v>0</v>
      </c>
      <c r="AA39" s="12">
        <f>+Precios!Z37*Precios!Z$3</f>
        <v>0</v>
      </c>
      <c r="AB39" s="12">
        <f t="shared" ref="AB39:AG39" si="99">+AB38</f>
        <v>0</v>
      </c>
      <c r="AC39" s="12">
        <f t="shared" si="99"/>
        <v>0</v>
      </c>
      <c r="AD39" s="12">
        <f t="shared" si="99"/>
        <v>0</v>
      </c>
      <c r="AE39" s="12">
        <f t="shared" si="99"/>
        <v>0</v>
      </c>
      <c r="AF39" s="12">
        <f t="shared" si="99"/>
        <v>0</v>
      </c>
      <c r="AG39" s="12">
        <f t="shared" si="99"/>
        <v>0</v>
      </c>
      <c r="AH39" s="12">
        <f>+Precios!AG37*Precios!AG$3</f>
        <v>0</v>
      </c>
      <c r="AI39" s="12">
        <f>+Precios!AH37*Precios!AH$3</f>
        <v>0</v>
      </c>
      <c r="AJ39" s="12">
        <f>+Precios!AI37*Precios!AI$3</f>
        <v>0</v>
      </c>
      <c r="AK39" s="12">
        <f>+Precios!AJ37*Precios!AJ$3</f>
        <v>0</v>
      </c>
      <c r="AL39" s="12">
        <f>+Precios!AK37*Precios!AK$3</f>
        <v>0</v>
      </c>
      <c r="AM39" s="12">
        <f>+Precios!AL37*Precios!AL$3</f>
        <v>0</v>
      </c>
      <c r="AN39" s="12"/>
      <c r="AO39" s="12"/>
      <c r="AP39" s="12">
        <f>+Precios!AO37*Precios!AO$3</f>
        <v>0</v>
      </c>
      <c r="AQ39" s="12">
        <f>+Precios!AP37*Precios!AP$3</f>
        <v>0</v>
      </c>
      <c r="AR39" s="12">
        <f>+Precios!AQ37*Precios!AQ$3</f>
        <v>0</v>
      </c>
      <c r="AS39" s="12">
        <f>+Precios!AR37*Precios!AR$3</f>
        <v>0</v>
      </c>
      <c r="AT39" s="12">
        <f>+Precios!AS37*Precios!AS$3</f>
        <v>0</v>
      </c>
      <c r="AU39" s="12">
        <f>+Precios!AT37*Precios!AT$3</f>
        <v>0</v>
      </c>
      <c r="AV39" s="12"/>
      <c r="AW39" s="12">
        <f>+Precios!AV37*Precios!AV$3</f>
        <v>0</v>
      </c>
      <c r="AX39" s="12">
        <f>+Precios!AW37*Precios!AW$3</f>
        <v>0</v>
      </c>
      <c r="AY39" s="12">
        <f>+Precios!AX37*Precios!AX$3</f>
        <v>0</v>
      </c>
      <c r="AZ39" s="12">
        <f>+Precios!AY37*Precios!AY$3</f>
        <v>0</v>
      </c>
      <c r="BA39" s="12">
        <f>+Precios!AZ37*Precios!AZ$3</f>
        <v>0</v>
      </c>
      <c r="BB39" s="12">
        <f>+Precios!BA37*Precios!BA$3</f>
        <v>0</v>
      </c>
      <c r="BC39" s="12">
        <f>+Precios!BB37*Precios!BB$3</f>
        <v>0</v>
      </c>
      <c r="BD39" s="12">
        <f>+Precios!BC37*Precios!BC$3</f>
        <v>0</v>
      </c>
      <c r="BE39" s="12">
        <f>+Precios!BD37*Precios!BD$3</f>
        <v>0</v>
      </c>
      <c r="BF39" s="12">
        <f>+Precios!BE37*Precios!BE$3</f>
        <v>0</v>
      </c>
      <c r="BG39" s="12">
        <f>+Precios!BF37*Precios!BF$3</f>
        <v>0</v>
      </c>
      <c r="BH39" s="12">
        <f>+Precios!BG37*Precios!BG$3</f>
        <v>0</v>
      </c>
      <c r="BI39" s="12">
        <f>+Precios!BH37*Precios!BH$3</f>
        <v>0</v>
      </c>
      <c r="BJ39" s="12">
        <f>+Precios!BI37*Precios!BI$3</f>
        <v>0</v>
      </c>
      <c r="BK39" s="12">
        <f>+Precios!BJ37*Precios!BJ$3</f>
        <v>0</v>
      </c>
      <c r="BL39" s="12">
        <f>+Precios!BK37*Precios!BK$3</f>
        <v>0</v>
      </c>
      <c r="BM39" s="12">
        <f>+Precios!BL37*Precios!BL$3</f>
        <v>0</v>
      </c>
    </row>
    <row r="40" spans="1:65" ht="15" thickBot="1">
      <c r="A40" s="5">
        <f t="shared" si="96"/>
        <v>0</v>
      </c>
      <c r="B40" s="15">
        <f>+Precios!A38</f>
        <v>46024</v>
      </c>
      <c r="C40" s="12">
        <f>+Precios!B38*Precios!B$3</f>
        <v>0</v>
      </c>
      <c r="D40" s="12">
        <f>+Precios!C38*Precios!C$3</f>
        <v>0</v>
      </c>
      <c r="E40" s="12">
        <f>+Precios!D38*Precios!D$3</f>
        <v>0</v>
      </c>
      <c r="F40" s="12">
        <f>+Precios!E38*Precios!E$3</f>
        <v>0</v>
      </c>
      <c r="G40" s="12">
        <f>+Precios!F38*Precios!F$3</f>
        <v>0</v>
      </c>
      <c r="H40" s="12">
        <f>+Precios!G38*Precios!G$3</f>
        <v>0</v>
      </c>
      <c r="I40" s="12">
        <f>+Precios!H38*Precios!H$3</f>
        <v>0</v>
      </c>
      <c r="J40" s="12">
        <f>+Precios!I38*Precios!I$3</f>
        <v>0</v>
      </c>
      <c r="K40" s="12">
        <f>+Precios!J38*Precios!J$3</f>
        <v>0</v>
      </c>
      <c r="L40" s="12">
        <f>+Precios!K38*Precios!K$3</f>
        <v>0</v>
      </c>
      <c r="M40" s="12">
        <f>+Precios!L38*Precios!L$3</f>
        <v>0</v>
      </c>
      <c r="N40" s="12">
        <f>+Precios!M38*Precios!M$3</f>
        <v>0</v>
      </c>
      <c r="O40" s="12">
        <f>+Precios!N38*Precios!N$3</f>
        <v>0</v>
      </c>
      <c r="P40" s="12">
        <f t="shared" ref="P40:T40" si="100">+P39</f>
        <v>0</v>
      </c>
      <c r="Q40" s="12">
        <f t="shared" si="100"/>
        <v>0</v>
      </c>
      <c r="R40" s="12">
        <f t="shared" si="100"/>
        <v>0</v>
      </c>
      <c r="S40" s="12">
        <f t="shared" si="100"/>
        <v>0</v>
      </c>
      <c r="T40" s="12">
        <f t="shared" si="100"/>
        <v>0</v>
      </c>
      <c r="U40" s="12">
        <f>+Precios!T38*Precios!T$3</f>
        <v>0</v>
      </c>
      <c r="V40" s="12">
        <f t="shared" ref="V40" si="101">+V39</f>
        <v>0</v>
      </c>
      <c r="W40" s="12">
        <f>+Precios!V38*Precios!V$3</f>
        <v>0</v>
      </c>
      <c r="X40" s="12">
        <f>+Precios!W38*Precios!W$3</f>
        <v>0</v>
      </c>
      <c r="Y40" s="12">
        <f>+Precios!X38*Precios!X$3</f>
        <v>0</v>
      </c>
      <c r="Z40" s="12">
        <f>+Precios!Y38*Precios!Y$3</f>
        <v>0</v>
      </c>
      <c r="AA40" s="12">
        <f>+Precios!Z38*Precios!Z$3</f>
        <v>0</v>
      </c>
      <c r="AB40" s="12">
        <f t="shared" ref="AB40:AG40" si="102">+AB39</f>
        <v>0</v>
      </c>
      <c r="AC40" s="12">
        <f t="shared" si="102"/>
        <v>0</v>
      </c>
      <c r="AD40" s="12">
        <f t="shared" si="102"/>
        <v>0</v>
      </c>
      <c r="AE40" s="12">
        <f t="shared" si="102"/>
        <v>0</v>
      </c>
      <c r="AF40" s="12">
        <f t="shared" si="102"/>
        <v>0</v>
      </c>
      <c r="AG40" s="12">
        <f t="shared" si="102"/>
        <v>0</v>
      </c>
      <c r="AH40" s="12">
        <f>+Precios!AG38*Precios!AG$3</f>
        <v>0</v>
      </c>
      <c r="AI40" s="12">
        <f>+Precios!AH38*Precios!AH$3</f>
        <v>0</v>
      </c>
      <c r="AJ40" s="12">
        <f>+Precios!AI38*Precios!AI$3</f>
        <v>0</v>
      </c>
      <c r="AK40" s="12">
        <f>+Precios!AJ38*Precios!AJ$3</f>
        <v>0</v>
      </c>
      <c r="AL40" s="12">
        <f>+Precios!AK38*Precios!AK$3</f>
        <v>0</v>
      </c>
      <c r="AM40" s="12">
        <f>+Precios!AL38*Precios!AL$3</f>
        <v>0</v>
      </c>
      <c r="AN40" s="12"/>
      <c r="AO40" s="12"/>
      <c r="AP40" s="12">
        <f>+Precios!AO38*Precios!AO$3</f>
        <v>0</v>
      </c>
      <c r="AQ40" s="12">
        <f>+Precios!AP38*Precios!AP$3</f>
        <v>0</v>
      </c>
      <c r="AR40" s="12">
        <f>+Precios!AQ38*Precios!AQ$3</f>
        <v>0</v>
      </c>
      <c r="AS40" s="12">
        <f>+Precios!AR38*Precios!AR$3</f>
        <v>0</v>
      </c>
      <c r="AT40" s="12">
        <f>+Precios!AS38*Precios!AS$3</f>
        <v>0</v>
      </c>
      <c r="AU40" s="12">
        <f>+Precios!AT38*Precios!AT$3</f>
        <v>0</v>
      </c>
      <c r="AV40" s="12"/>
      <c r="AW40" s="12">
        <f>+Precios!AV38*Precios!AV$3</f>
        <v>0</v>
      </c>
      <c r="AX40" s="12">
        <f>+Precios!AW38*Precios!AW$3</f>
        <v>0</v>
      </c>
      <c r="AY40" s="12">
        <f>+Precios!AX38*Precios!AX$3</f>
        <v>0</v>
      </c>
      <c r="AZ40" s="12">
        <f>+Precios!AY38*Precios!AY$3</f>
        <v>0</v>
      </c>
      <c r="BA40" s="12">
        <f>+Precios!AZ38*Precios!AZ$3</f>
        <v>0</v>
      </c>
      <c r="BB40" s="12">
        <f>+Precios!BA38*Precios!BA$3</f>
        <v>0</v>
      </c>
      <c r="BC40" s="12">
        <f>+Precios!BB38*Precios!BB$3</f>
        <v>0</v>
      </c>
      <c r="BD40" s="12">
        <f>+Precios!BC38*Precios!BC$3</f>
        <v>0</v>
      </c>
      <c r="BE40" s="12">
        <f>+Precios!BD38*Precios!BD$3</f>
        <v>0</v>
      </c>
      <c r="BF40" s="12">
        <f>+Precios!BE38*Precios!BE$3</f>
        <v>0</v>
      </c>
      <c r="BG40" s="12">
        <f>+Precios!BF38*Precios!BF$3</f>
        <v>0</v>
      </c>
      <c r="BH40" s="12">
        <f>+Precios!BG38*Precios!BG$3</f>
        <v>0</v>
      </c>
      <c r="BI40" s="12">
        <f>+Precios!BH38*Precios!BH$3</f>
        <v>0</v>
      </c>
      <c r="BJ40" s="12">
        <f>+Precios!BI38*Precios!BI$3</f>
        <v>0</v>
      </c>
      <c r="BK40" s="12">
        <f>+Precios!BJ38*Precios!BJ$3</f>
        <v>0</v>
      </c>
      <c r="BL40" s="12">
        <f>+Precios!BK38*Precios!BK$3</f>
        <v>0</v>
      </c>
      <c r="BM40" s="12">
        <f>+Precios!BL38*Precios!BL$3</f>
        <v>0</v>
      </c>
    </row>
    <row r="41" spans="1:65" ht="15" thickBot="1">
      <c r="A41" s="5">
        <f t="shared" si="96"/>
        <v>0</v>
      </c>
      <c r="B41" s="15">
        <f>+Precios!A39</f>
        <v>46027</v>
      </c>
      <c r="C41" s="12">
        <f>+Precios!B39*Precios!B$3</f>
        <v>0</v>
      </c>
      <c r="D41" s="12">
        <f>+Precios!C39*Precios!C$3</f>
        <v>0</v>
      </c>
      <c r="E41" s="12">
        <f>+Precios!D39*Precios!D$3</f>
        <v>0</v>
      </c>
      <c r="F41" s="12">
        <f>+Precios!E39*Precios!E$3</f>
        <v>0</v>
      </c>
      <c r="G41" s="12">
        <f>+Precios!F39*Precios!F$3</f>
        <v>0</v>
      </c>
      <c r="H41" s="12">
        <f>+Precios!G39*Precios!G$3</f>
        <v>0</v>
      </c>
      <c r="I41" s="12">
        <f>+Precios!H39*Precios!H$3</f>
        <v>0</v>
      </c>
      <c r="J41" s="12">
        <f>+Precios!I39*Precios!I$3</f>
        <v>0</v>
      </c>
      <c r="K41" s="12">
        <f>+Precios!J39*Precios!J$3</f>
        <v>0</v>
      </c>
      <c r="L41" s="12">
        <f>+Precios!K39*Precios!K$3</f>
        <v>0</v>
      </c>
      <c r="M41" s="12">
        <f>+Precios!L39*Precios!L$3</f>
        <v>0</v>
      </c>
      <c r="N41" s="12">
        <f>+Precios!M39*Precios!M$3</f>
        <v>0</v>
      </c>
      <c r="O41" s="12">
        <f>+Precios!N39*Precios!N$3</f>
        <v>0</v>
      </c>
      <c r="P41" s="12">
        <f>+Precios!O39*Precios!O$3</f>
        <v>0</v>
      </c>
      <c r="Q41" s="12">
        <f t="shared" ref="Q41:T41" si="103">+Q40</f>
        <v>0</v>
      </c>
      <c r="R41" s="12">
        <f t="shared" si="103"/>
        <v>0</v>
      </c>
      <c r="S41" s="12">
        <f t="shared" si="103"/>
        <v>0</v>
      </c>
      <c r="T41" s="12">
        <f t="shared" si="103"/>
        <v>0</v>
      </c>
      <c r="U41" s="12">
        <f>+Precios!T39*Precios!T$3</f>
        <v>0</v>
      </c>
      <c r="V41" s="12">
        <f t="shared" ref="V41" si="104">+V40</f>
        <v>0</v>
      </c>
      <c r="W41" s="12">
        <f>+Precios!V39*Precios!V$3</f>
        <v>0</v>
      </c>
      <c r="X41" s="12">
        <f>+Precios!W39*Precios!W$3</f>
        <v>0</v>
      </c>
      <c r="Y41" s="12">
        <f>+Precios!X39*Precios!X$3</f>
        <v>0</v>
      </c>
      <c r="Z41" s="12">
        <f>+Precios!Y39*Precios!Y$3</f>
        <v>0</v>
      </c>
      <c r="AA41" s="12">
        <f>+Precios!Z39*Precios!Z$3</f>
        <v>0</v>
      </c>
      <c r="AB41" s="12">
        <f t="shared" ref="AB41:AG41" si="105">+AB40</f>
        <v>0</v>
      </c>
      <c r="AC41" s="12">
        <f t="shared" si="105"/>
        <v>0</v>
      </c>
      <c r="AD41" s="12">
        <f t="shared" si="105"/>
        <v>0</v>
      </c>
      <c r="AE41" s="12">
        <f t="shared" si="105"/>
        <v>0</v>
      </c>
      <c r="AF41" s="12">
        <f t="shared" si="105"/>
        <v>0</v>
      </c>
      <c r="AG41" s="12">
        <f t="shared" si="105"/>
        <v>0</v>
      </c>
      <c r="AH41" s="12">
        <f>+Precios!AG39*Precios!AG$3</f>
        <v>0</v>
      </c>
      <c r="AI41" s="12">
        <f>+Precios!AH39*Precios!AH$3</f>
        <v>0</v>
      </c>
      <c r="AJ41" s="12">
        <f>+Precios!AI39*Precios!AI$3</f>
        <v>0</v>
      </c>
      <c r="AK41" s="12">
        <f>+Precios!AJ39*Precios!AJ$3</f>
        <v>0</v>
      </c>
      <c r="AL41" s="12">
        <f>+Precios!AK39*Precios!AK$3</f>
        <v>0</v>
      </c>
      <c r="AM41" s="12">
        <f>+Precios!AL39*Precios!AL$3</f>
        <v>0</v>
      </c>
      <c r="AN41" s="12"/>
      <c r="AO41" s="12"/>
      <c r="AP41" s="12">
        <f>+Precios!AO39*Precios!AO$3</f>
        <v>0</v>
      </c>
      <c r="AQ41" s="12">
        <f>+Precios!AP39*Precios!AP$3</f>
        <v>0</v>
      </c>
      <c r="AR41" s="12">
        <f>+Precios!AQ39*Precios!AQ$3</f>
        <v>0</v>
      </c>
      <c r="AS41" s="12">
        <f>+Precios!AR39*Precios!AR$3</f>
        <v>0</v>
      </c>
      <c r="AT41" s="12">
        <f>+Precios!AS39*Precios!AS$3</f>
        <v>0</v>
      </c>
      <c r="AU41" s="12">
        <f>+Precios!AT39*Precios!AT$3</f>
        <v>0</v>
      </c>
      <c r="AV41" s="12"/>
      <c r="AW41" s="12">
        <f>+Precios!AV39*Precios!AV$3</f>
        <v>0</v>
      </c>
      <c r="AX41" s="12">
        <f>+Precios!AW39*Precios!AW$3</f>
        <v>0</v>
      </c>
      <c r="AY41" s="12">
        <f>+Precios!AX39*Precios!AX$3</f>
        <v>0</v>
      </c>
      <c r="AZ41" s="12">
        <f>+Precios!AY39*Precios!AY$3</f>
        <v>0</v>
      </c>
      <c r="BA41" s="12">
        <f>+Precios!AZ39*Precios!AZ$3</f>
        <v>0</v>
      </c>
      <c r="BB41" s="12">
        <f>+Precios!BA39*Precios!BA$3</f>
        <v>0</v>
      </c>
      <c r="BC41" s="12">
        <f>+Precios!BB39*Precios!BB$3</f>
        <v>0</v>
      </c>
      <c r="BD41" s="12">
        <f>+Precios!BC39*Precios!BC$3</f>
        <v>0</v>
      </c>
      <c r="BE41" s="12">
        <f>+Precios!BD39*Precios!BD$3</f>
        <v>0</v>
      </c>
      <c r="BF41" s="12">
        <f>+Precios!BE39*Precios!BE$3</f>
        <v>0</v>
      </c>
      <c r="BG41" s="12">
        <f>+Precios!BF39*Precios!BF$3</f>
        <v>0</v>
      </c>
      <c r="BH41" s="12">
        <f>+Precios!BG39*Precios!BG$3</f>
        <v>0</v>
      </c>
      <c r="BI41" s="12">
        <f>+Precios!BH39*Precios!BH$3</f>
        <v>0</v>
      </c>
      <c r="BJ41" s="12">
        <f>+Precios!BI39*Precios!BI$3</f>
        <v>0</v>
      </c>
      <c r="BK41" s="12">
        <f>+Precios!BJ39*Precios!BJ$3</f>
        <v>0</v>
      </c>
      <c r="BL41" s="12">
        <f>+Precios!BK39*Precios!BK$3</f>
        <v>0</v>
      </c>
      <c r="BM41" s="12">
        <f>+Precios!BL39*Precios!BL$3</f>
        <v>0</v>
      </c>
    </row>
    <row r="42" spans="1:65" ht="15" thickBot="1">
      <c r="A42" s="5">
        <f t="shared" si="96"/>
        <v>0</v>
      </c>
      <c r="B42" s="15">
        <f>+Precios!A40</f>
        <v>46028</v>
      </c>
      <c r="C42" s="12">
        <f>+Precios!B40*Precios!B$3</f>
        <v>0</v>
      </c>
      <c r="D42" s="12">
        <f>+Precios!C40*Precios!C$3</f>
        <v>0</v>
      </c>
      <c r="E42" s="12">
        <f>+Precios!D40*Precios!D$3</f>
        <v>0</v>
      </c>
      <c r="F42" s="12">
        <f>+Precios!E40*Precios!E$3</f>
        <v>0</v>
      </c>
      <c r="G42" s="12">
        <f>+Precios!F40*Precios!F$3</f>
        <v>0</v>
      </c>
      <c r="H42" s="12">
        <f>+Precios!G40*Precios!G$3</f>
        <v>0</v>
      </c>
      <c r="I42" s="12">
        <f>+Precios!H40*Precios!H$3</f>
        <v>0</v>
      </c>
      <c r="J42" s="12">
        <f>+Precios!I40*Precios!I$3</f>
        <v>0</v>
      </c>
      <c r="K42" s="12">
        <f>+Precios!J40*Precios!J$3</f>
        <v>0</v>
      </c>
      <c r="L42" s="12">
        <f>+Precios!K40*Precios!K$3</f>
        <v>0</v>
      </c>
      <c r="M42" s="12">
        <f>+Precios!L40*Precios!L$3</f>
        <v>0</v>
      </c>
      <c r="N42" s="12">
        <f>+Precios!M40*Precios!M$3</f>
        <v>0</v>
      </c>
      <c r="O42" s="12">
        <f>+Precios!N40*Precios!N$3</f>
        <v>0</v>
      </c>
      <c r="P42" s="12">
        <f>+Precios!O40*Precios!O$3</f>
        <v>0</v>
      </c>
      <c r="Q42" s="12">
        <f t="shared" ref="Q42:T42" si="106">+Q41</f>
        <v>0</v>
      </c>
      <c r="R42" s="12">
        <f t="shared" si="106"/>
        <v>0</v>
      </c>
      <c r="S42" s="12">
        <f t="shared" si="106"/>
        <v>0</v>
      </c>
      <c r="T42" s="12">
        <f t="shared" si="106"/>
        <v>0</v>
      </c>
      <c r="U42" s="12">
        <f>+Precios!T40*Precios!T$3</f>
        <v>0</v>
      </c>
      <c r="V42" s="12">
        <f t="shared" ref="V42" si="107">+V41</f>
        <v>0</v>
      </c>
      <c r="W42" s="12">
        <f>+Precios!V40*Precios!V$3</f>
        <v>0</v>
      </c>
      <c r="X42" s="12">
        <f>+Precios!W40*Precios!W$3</f>
        <v>0</v>
      </c>
      <c r="Y42" s="12">
        <f>+Precios!X40*Precios!X$3</f>
        <v>0</v>
      </c>
      <c r="Z42" s="12">
        <f>+Precios!Y40*Precios!Y$3</f>
        <v>0</v>
      </c>
      <c r="AA42" s="12">
        <f>+Precios!Z40*Precios!Z$3</f>
        <v>0</v>
      </c>
      <c r="AB42" s="12">
        <f t="shared" ref="AB42:AG42" si="108">+AB41</f>
        <v>0</v>
      </c>
      <c r="AC42" s="12">
        <f t="shared" si="108"/>
        <v>0</v>
      </c>
      <c r="AD42" s="12">
        <f t="shared" si="108"/>
        <v>0</v>
      </c>
      <c r="AE42" s="12">
        <f t="shared" si="108"/>
        <v>0</v>
      </c>
      <c r="AF42" s="12">
        <f t="shared" si="108"/>
        <v>0</v>
      </c>
      <c r="AG42" s="12">
        <f t="shared" si="108"/>
        <v>0</v>
      </c>
      <c r="AH42" s="12">
        <f>+Precios!AG40*Precios!AG$3</f>
        <v>0</v>
      </c>
      <c r="AI42" s="12">
        <f>+Precios!AH40*Precios!AH$3</f>
        <v>0</v>
      </c>
      <c r="AJ42" s="12">
        <f>+Precios!AI40*Precios!AI$3</f>
        <v>0</v>
      </c>
      <c r="AK42" s="12">
        <f>+Precios!AJ40*Precios!AJ$3</f>
        <v>0</v>
      </c>
      <c r="AL42" s="12">
        <f>+Precios!AK40*Precios!AK$3</f>
        <v>0</v>
      </c>
      <c r="AM42" s="12">
        <f>+Precios!AL40*Precios!AL$3</f>
        <v>0</v>
      </c>
      <c r="AN42" s="12"/>
      <c r="AO42" s="12"/>
      <c r="AP42" s="12">
        <f>+Precios!AO40*Precios!AO$3</f>
        <v>0</v>
      </c>
      <c r="AQ42" s="12">
        <f>+Precios!AP40*Precios!AP$3</f>
        <v>0</v>
      </c>
      <c r="AR42" s="12">
        <f>+Precios!AQ40*Precios!AQ$3</f>
        <v>0</v>
      </c>
      <c r="AS42" s="12">
        <f>+Precios!AR40*Precios!AR$3</f>
        <v>0</v>
      </c>
      <c r="AT42" s="12">
        <f>+Precios!AS40*Precios!AS$3</f>
        <v>0</v>
      </c>
      <c r="AU42" s="12">
        <f>+Precios!AT40*Precios!AT$3</f>
        <v>0</v>
      </c>
      <c r="AV42" s="12"/>
      <c r="AW42" s="12">
        <f>+Precios!AV40*Precios!AV$3</f>
        <v>0</v>
      </c>
      <c r="AX42" s="12">
        <f>+Precios!AW40*Precios!AW$3</f>
        <v>0</v>
      </c>
      <c r="AY42" s="12">
        <f>+Precios!AX40*Precios!AX$3</f>
        <v>0</v>
      </c>
      <c r="AZ42" s="12">
        <f>+Precios!AY40*Precios!AY$3</f>
        <v>0</v>
      </c>
      <c r="BA42" s="12">
        <f>+Precios!AZ40*Precios!AZ$3</f>
        <v>0</v>
      </c>
      <c r="BB42" s="12">
        <f>+Precios!BA40*Precios!BA$3</f>
        <v>0</v>
      </c>
      <c r="BC42" s="12">
        <f>+Precios!BB40*Precios!BB$3</f>
        <v>0</v>
      </c>
      <c r="BD42" s="12">
        <f>+Precios!BC40*Precios!BC$3</f>
        <v>0</v>
      </c>
      <c r="BE42" s="12">
        <f>+Precios!BD40*Precios!BD$3</f>
        <v>0</v>
      </c>
      <c r="BF42" s="12">
        <f>+Precios!BE40*Precios!BE$3</f>
        <v>0</v>
      </c>
      <c r="BG42" s="12">
        <f>+Precios!BF40*Precios!BF$3</f>
        <v>0</v>
      </c>
      <c r="BH42" s="12">
        <f>+Precios!BG40*Precios!BG$3</f>
        <v>0</v>
      </c>
      <c r="BI42" s="12">
        <f>+Precios!BH40*Precios!BH$3</f>
        <v>0</v>
      </c>
      <c r="BJ42" s="12">
        <f>+Precios!BI40*Precios!BI$3</f>
        <v>0</v>
      </c>
      <c r="BK42" s="12">
        <f>+Precios!BJ40*Precios!BJ$3</f>
        <v>0</v>
      </c>
      <c r="BL42" s="12">
        <f>+Precios!BK40*Precios!BK$3</f>
        <v>0</v>
      </c>
      <c r="BM42" s="12">
        <f>+Precios!BL40*Precios!BL$3</f>
        <v>0</v>
      </c>
    </row>
    <row r="43" spans="1:65" ht="15" thickBot="1">
      <c r="A43" s="5">
        <f t="shared" si="96"/>
        <v>0</v>
      </c>
      <c r="B43" s="15">
        <f>+Precios!A41</f>
        <v>46029</v>
      </c>
      <c r="C43" s="12">
        <f>+Precios!B41*Precios!B$3</f>
        <v>0</v>
      </c>
      <c r="D43" s="12">
        <f>+Precios!C41*Precios!C$3</f>
        <v>0</v>
      </c>
      <c r="E43" s="12">
        <f>+Precios!D41*Precios!D$3</f>
        <v>0</v>
      </c>
      <c r="F43" s="12">
        <f>+Precios!E41*Precios!E$3</f>
        <v>0</v>
      </c>
      <c r="G43" s="12">
        <f>+Precios!F41*Precios!F$3</f>
        <v>0</v>
      </c>
      <c r="H43" s="12">
        <f>+Precios!G41*Precios!G$3</f>
        <v>0</v>
      </c>
      <c r="I43" s="12">
        <f>+Precios!H41*Precios!H$3</f>
        <v>0</v>
      </c>
      <c r="J43" s="12">
        <f>+Precios!I41*Precios!I$3</f>
        <v>0</v>
      </c>
      <c r="K43" s="12">
        <f>+Precios!J41*Precios!J$3</f>
        <v>0</v>
      </c>
      <c r="L43" s="12">
        <f>+Precios!K41*Precios!K$3</f>
        <v>0</v>
      </c>
      <c r="M43" s="12">
        <f>+Precios!L41*Precios!L$3</f>
        <v>0</v>
      </c>
      <c r="N43" s="12">
        <f>+Precios!M41*Precios!M$3</f>
        <v>0</v>
      </c>
      <c r="O43" s="12">
        <f>+Precios!N41*Precios!N$3</f>
        <v>0</v>
      </c>
      <c r="P43" s="12">
        <f>+Precios!O41*Precios!O$3</f>
        <v>0</v>
      </c>
      <c r="Q43" s="12">
        <f t="shared" ref="Q43:T43" si="109">+Q42</f>
        <v>0</v>
      </c>
      <c r="R43" s="12">
        <f t="shared" si="109"/>
        <v>0</v>
      </c>
      <c r="S43" s="12">
        <f t="shared" si="109"/>
        <v>0</v>
      </c>
      <c r="T43" s="12">
        <f t="shared" si="109"/>
        <v>0</v>
      </c>
      <c r="U43" s="12">
        <f>+Precios!T41*Precios!T$3</f>
        <v>0</v>
      </c>
      <c r="V43" s="12">
        <f t="shared" ref="V43" si="110">+V42</f>
        <v>0</v>
      </c>
      <c r="W43" s="12">
        <f>+Precios!V41*Precios!V$3</f>
        <v>0</v>
      </c>
      <c r="X43" s="12">
        <f>+Precios!W41*Precios!W$3</f>
        <v>0</v>
      </c>
      <c r="Y43" s="12">
        <f>+Precios!X41*Precios!X$3</f>
        <v>0</v>
      </c>
      <c r="Z43" s="12">
        <f>+Precios!Y41*Precios!Y$3</f>
        <v>0</v>
      </c>
      <c r="AA43" s="12">
        <f>+Precios!Z41*Precios!Z$3</f>
        <v>0</v>
      </c>
      <c r="AB43" s="12">
        <f t="shared" ref="AB43:AG43" si="111">+AB42</f>
        <v>0</v>
      </c>
      <c r="AC43" s="12">
        <f t="shared" si="111"/>
        <v>0</v>
      </c>
      <c r="AD43" s="12">
        <f t="shared" si="111"/>
        <v>0</v>
      </c>
      <c r="AE43" s="12">
        <f t="shared" si="111"/>
        <v>0</v>
      </c>
      <c r="AF43" s="12">
        <f t="shared" si="111"/>
        <v>0</v>
      </c>
      <c r="AG43" s="12">
        <f t="shared" si="111"/>
        <v>0</v>
      </c>
      <c r="AH43" s="12">
        <f>+Precios!AG41*Precios!AG$3</f>
        <v>0</v>
      </c>
      <c r="AI43" s="12">
        <f>+Precios!AH41*Precios!AH$3</f>
        <v>0</v>
      </c>
      <c r="AJ43" s="12">
        <f>+Precios!AI41*Precios!AI$3</f>
        <v>0</v>
      </c>
      <c r="AK43" s="12">
        <f>+Precios!AJ41*Precios!AJ$3</f>
        <v>0</v>
      </c>
      <c r="AL43" s="12">
        <f>+Precios!AK41*Precios!AK$3</f>
        <v>0</v>
      </c>
      <c r="AM43" s="12">
        <f>+Precios!AL41*Precios!AL$3</f>
        <v>0</v>
      </c>
      <c r="AN43" s="12"/>
      <c r="AO43" s="12"/>
      <c r="AP43" s="12">
        <f>+Precios!AO41*Precios!AO$3</f>
        <v>0</v>
      </c>
      <c r="AQ43" s="12">
        <f>+Precios!AP41*Precios!AP$3</f>
        <v>0</v>
      </c>
      <c r="AR43" s="12">
        <f>+Precios!AQ41*Precios!AQ$3</f>
        <v>0</v>
      </c>
      <c r="AS43" s="12">
        <f>+Precios!AR41*Precios!AR$3</f>
        <v>0</v>
      </c>
      <c r="AT43" s="12">
        <f>+Precios!AS41*Precios!AS$3</f>
        <v>0</v>
      </c>
      <c r="AU43" s="12">
        <f>+Precios!AT41*Precios!AT$3</f>
        <v>0</v>
      </c>
      <c r="AV43" s="12"/>
      <c r="AW43" s="12">
        <f>+Precios!AV41*Precios!AV$3</f>
        <v>0</v>
      </c>
      <c r="AX43" s="12">
        <f>+Precios!AW41*Precios!AW$3</f>
        <v>0</v>
      </c>
      <c r="AY43" s="12">
        <f>+Precios!AX41*Precios!AX$3</f>
        <v>0</v>
      </c>
      <c r="AZ43" s="12">
        <f>+Precios!AY41*Precios!AY$3</f>
        <v>0</v>
      </c>
      <c r="BA43" s="12">
        <f>+Precios!AZ41*Precios!AZ$3</f>
        <v>0</v>
      </c>
      <c r="BB43" s="12">
        <f>+Precios!BA41*Precios!BA$3</f>
        <v>0</v>
      </c>
      <c r="BC43" s="12">
        <f>+Precios!BB41*Precios!BB$3</f>
        <v>0</v>
      </c>
      <c r="BD43" s="12">
        <f>+Precios!BC41*Precios!BC$3</f>
        <v>0</v>
      </c>
      <c r="BE43" s="12">
        <f>+Precios!BD41*Precios!BD$3</f>
        <v>0</v>
      </c>
      <c r="BF43" s="12">
        <f>+Precios!BE41*Precios!BE$3</f>
        <v>0</v>
      </c>
      <c r="BG43" s="12">
        <f>+Precios!BF41*Precios!BF$3</f>
        <v>0</v>
      </c>
      <c r="BH43" s="12">
        <f>+Precios!BG41*Precios!BG$3</f>
        <v>0</v>
      </c>
      <c r="BI43" s="12">
        <f>+Precios!BH41*Precios!BH$3</f>
        <v>0</v>
      </c>
      <c r="BJ43" s="12">
        <f>+Precios!BI41*Precios!BI$3</f>
        <v>0</v>
      </c>
      <c r="BK43" s="12">
        <f>+Precios!BJ41*Precios!BJ$3</f>
        <v>0</v>
      </c>
      <c r="BL43" s="12">
        <f>+Precios!BK41*Precios!BK$3</f>
        <v>0</v>
      </c>
      <c r="BM43" s="12">
        <f>+Precios!BL41*Precios!BL$3</f>
        <v>0</v>
      </c>
    </row>
    <row r="44" spans="1:65" ht="15" thickBot="1">
      <c r="A44" s="5">
        <f t="shared" si="96"/>
        <v>0</v>
      </c>
      <c r="B44" s="15">
        <f>+Precios!A42</f>
        <v>46030</v>
      </c>
      <c r="C44" s="12">
        <f>+Precios!B42*Precios!B$3</f>
        <v>0</v>
      </c>
      <c r="D44" s="12">
        <f>+Precios!C42*Precios!C$3</f>
        <v>0</v>
      </c>
      <c r="E44" s="12">
        <f>+Precios!D42*Precios!D$3</f>
        <v>0</v>
      </c>
      <c r="F44" s="12">
        <f>+Precios!E42*Precios!E$3</f>
        <v>0</v>
      </c>
      <c r="G44" s="12">
        <f>+Precios!F42*Precios!F$3</f>
        <v>0</v>
      </c>
      <c r="H44" s="12">
        <f>+Precios!G42*Precios!G$3</f>
        <v>0</v>
      </c>
      <c r="I44" s="12">
        <f>+Precios!H42*Precios!H$3</f>
        <v>0</v>
      </c>
      <c r="J44" s="12">
        <f>+Precios!I42*Precios!I$3</f>
        <v>0</v>
      </c>
      <c r="K44" s="12">
        <f>+Precios!J42*Precios!J$3</f>
        <v>0</v>
      </c>
      <c r="L44" s="12">
        <f>+Precios!K42*Precios!K$3</f>
        <v>0</v>
      </c>
      <c r="M44" s="12">
        <f>+Precios!L42*Precios!L$3</f>
        <v>0</v>
      </c>
      <c r="N44" s="12">
        <f>+Precios!M42*Precios!M$3</f>
        <v>0</v>
      </c>
      <c r="O44" s="12">
        <f>+Precios!N42*Precios!N$3</f>
        <v>0</v>
      </c>
      <c r="P44" s="12">
        <f>+Precios!O42*Precios!O$3</f>
        <v>0</v>
      </c>
      <c r="Q44" s="12">
        <f>+Precios!P42*Precios!P$3</f>
        <v>0</v>
      </c>
      <c r="R44" s="12">
        <f t="shared" ref="R44:T44" si="112">+R43</f>
        <v>0</v>
      </c>
      <c r="S44" s="12">
        <f t="shared" si="112"/>
        <v>0</v>
      </c>
      <c r="T44" s="12">
        <f t="shared" si="112"/>
        <v>0</v>
      </c>
      <c r="U44" s="12">
        <f>+Precios!T42*Precios!T$3</f>
        <v>0</v>
      </c>
      <c r="V44" s="12">
        <f t="shared" ref="V44" si="113">+V43</f>
        <v>0</v>
      </c>
      <c r="W44" s="12">
        <f>+Precios!V42*Precios!V$3</f>
        <v>0</v>
      </c>
      <c r="X44" s="12">
        <f>+Precios!W42*Precios!W$3</f>
        <v>0</v>
      </c>
      <c r="Y44" s="12">
        <f>+Precios!X42*Precios!X$3</f>
        <v>0</v>
      </c>
      <c r="Z44" s="12">
        <f>+Precios!Y42*Precios!Y$3</f>
        <v>0</v>
      </c>
      <c r="AA44" s="12">
        <f>+Precios!Z42*Precios!Z$3</f>
        <v>0</v>
      </c>
      <c r="AB44" s="12">
        <f t="shared" ref="AB44:AG44" si="114">+AB43</f>
        <v>0</v>
      </c>
      <c r="AC44" s="12">
        <f t="shared" si="114"/>
        <v>0</v>
      </c>
      <c r="AD44" s="12">
        <f t="shared" si="114"/>
        <v>0</v>
      </c>
      <c r="AE44" s="12">
        <f t="shared" si="114"/>
        <v>0</v>
      </c>
      <c r="AF44" s="12">
        <f t="shared" si="114"/>
        <v>0</v>
      </c>
      <c r="AG44" s="12">
        <f t="shared" si="114"/>
        <v>0</v>
      </c>
      <c r="AH44" s="12">
        <f>+Precios!AG42*Precios!AG$3</f>
        <v>0</v>
      </c>
      <c r="AI44" s="12">
        <f>+Precios!AH42*Precios!AH$3</f>
        <v>0</v>
      </c>
      <c r="AJ44" s="12">
        <f>+Precios!AI42*Precios!AI$3</f>
        <v>0</v>
      </c>
      <c r="AK44" s="12">
        <f>+Precios!AJ42*Precios!AJ$3</f>
        <v>0</v>
      </c>
      <c r="AL44" s="12">
        <f>+Precios!AK42*Precios!AK$3</f>
        <v>0</v>
      </c>
      <c r="AM44" s="12">
        <f>+Precios!AL42*Precios!AL$3</f>
        <v>0</v>
      </c>
      <c r="AN44" s="12"/>
      <c r="AO44" s="12"/>
      <c r="AP44" s="12">
        <f>+Precios!AO42*Precios!AO$3</f>
        <v>0</v>
      </c>
      <c r="AQ44" s="12">
        <f>+Precios!AP42*Precios!AP$3</f>
        <v>0</v>
      </c>
      <c r="AR44" s="12">
        <f>+Precios!AQ42*Precios!AQ$3</f>
        <v>0</v>
      </c>
      <c r="AS44" s="12">
        <f>+Precios!AR42*Precios!AR$3</f>
        <v>0</v>
      </c>
      <c r="AT44" s="12">
        <f>+Precios!AS42*Precios!AS$3</f>
        <v>0</v>
      </c>
      <c r="AU44" s="12">
        <f>+Precios!AT42*Precios!AT$3</f>
        <v>0</v>
      </c>
      <c r="AV44" s="12"/>
      <c r="AW44" s="12">
        <f>+Precios!AV42*Precios!AV$3</f>
        <v>0</v>
      </c>
      <c r="AX44" s="12">
        <f>+Precios!AW42*Precios!AW$3</f>
        <v>0</v>
      </c>
      <c r="AY44" s="12">
        <f>+Precios!AX42*Precios!AX$3</f>
        <v>0</v>
      </c>
      <c r="AZ44" s="12">
        <f>+Precios!AY42*Precios!AY$3</f>
        <v>0</v>
      </c>
      <c r="BA44" s="12">
        <f>+Precios!AZ42*Precios!AZ$3</f>
        <v>0</v>
      </c>
      <c r="BB44" s="12">
        <f>+Precios!BA42*Precios!BA$3</f>
        <v>0</v>
      </c>
      <c r="BC44" s="12">
        <f>+Precios!BB42*Precios!BB$3</f>
        <v>0</v>
      </c>
      <c r="BD44" s="12">
        <f>+Precios!BC42*Precios!BC$3</f>
        <v>0</v>
      </c>
      <c r="BE44" s="12">
        <f>+Precios!BD42*Precios!BD$3</f>
        <v>0</v>
      </c>
      <c r="BF44" s="12">
        <f>+Precios!BE42*Precios!BE$3</f>
        <v>0</v>
      </c>
      <c r="BG44" s="12">
        <f>+Precios!BF42*Precios!BF$3</f>
        <v>0</v>
      </c>
      <c r="BH44" s="12">
        <f>+Precios!BG42*Precios!BG$3</f>
        <v>0</v>
      </c>
      <c r="BI44" s="12">
        <f>+Precios!BH42*Precios!BH$3</f>
        <v>0</v>
      </c>
      <c r="BJ44" s="12">
        <f>+Precios!BI42*Precios!BI$3</f>
        <v>0</v>
      </c>
      <c r="BK44" s="12">
        <f>+Precios!BJ42*Precios!BJ$3</f>
        <v>0</v>
      </c>
      <c r="BL44" s="12">
        <f>+Precios!BK42*Precios!BK$3</f>
        <v>0</v>
      </c>
      <c r="BM44" s="12">
        <f>+Precios!BL42*Precios!BL$3</f>
        <v>0</v>
      </c>
    </row>
    <row r="45" spans="1:65" ht="15" thickBot="1">
      <c r="A45" s="5">
        <f t="shared" si="96"/>
        <v>0</v>
      </c>
      <c r="B45" s="15">
        <f>+Precios!A43</f>
        <v>46031</v>
      </c>
      <c r="C45" s="12">
        <f>+Precios!B43*Precios!B$3</f>
        <v>0</v>
      </c>
      <c r="D45" s="12">
        <f>+Precios!C43*Precios!C$3</f>
        <v>0</v>
      </c>
      <c r="E45" s="12">
        <f>+Precios!D43*Precios!D$3</f>
        <v>0</v>
      </c>
      <c r="F45" s="12">
        <f>+Precios!E43*Precios!E$3</f>
        <v>0</v>
      </c>
      <c r="G45" s="12">
        <f>+Precios!F43*Precios!F$3</f>
        <v>0</v>
      </c>
      <c r="H45" s="12">
        <f>+Precios!G43*Precios!G$3</f>
        <v>0</v>
      </c>
      <c r="I45" s="12">
        <f>+Precios!H43*Precios!H$3</f>
        <v>0</v>
      </c>
      <c r="J45" s="12">
        <f>+Precios!I43*Precios!I$3</f>
        <v>0</v>
      </c>
      <c r="K45" s="12">
        <f>+Precios!J43*Precios!J$3</f>
        <v>0</v>
      </c>
      <c r="L45" s="12">
        <f>+Precios!K43*Precios!K$3</f>
        <v>0</v>
      </c>
      <c r="M45" s="12">
        <f>+Precios!L43*Precios!L$3</f>
        <v>0</v>
      </c>
      <c r="N45" s="12">
        <f>+Precios!M43*Precios!M$3</f>
        <v>0</v>
      </c>
      <c r="O45" s="12">
        <f>+Precios!N43*Precios!N$3</f>
        <v>0</v>
      </c>
      <c r="P45" s="12">
        <f>+Precios!O43*Precios!O$3</f>
        <v>0</v>
      </c>
      <c r="Q45" s="12">
        <f>+Precios!P43*Precios!P$3</f>
        <v>0</v>
      </c>
      <c r="R45" s="12">
        <f t="shared" ref="R45:T45" si="115">+R44</f>
        <v>0</v>
      </c>
      <c r="S45" s="12">
        <f t="shared" si="115"/>
        <v>0</v>
      </c>
      <c r="T45" s="12">
        <f t="shared" si="115"/>
        <v>0</v>
      </c>
      <c r="U45" s="12">
        <f>+Precios!T43*Precios!T$3</f>
        <v>0</v>
      </c>
      <c r="V45" s="12">
        <f t="shared" ref="V45" si="116">+V44</f>
        <v>0</v>
      </c>
      <c r="W45" s="12">
        <f>+Precios!V43*Precios!V$3</f>
        <v>0</v>
      </c>
      <c r="X45" s="12">
        <f>+Precios!W43*Precios!W$3</f>
        <v>0</v>
      </c>
      <c r="Y45" s="12">
        <f>+Precios!X43*Precios!X$3</f>
        <v>0</v>
      </c>
      <c r="Z45" s="12">
        <f>+Precios!Y43*Precios!Y$3</f>
        <v>0</v>
      </c>
      <c r="AA45" s="12">
        <f>+Precios!Z43*Precios!Z$3</f>
        <v>0</v>
      </c>
      <c r="AB45" s="12">
        <f t="shared" ref="AB45:AG45" si="117">+AB44</f>
        <v>0</v>
      </c>
      <c r="AC45" s="12">
        <f t="shared" si="117"/>
        <v>0</v>
      </c>
      <c r="AD45" s="12">
        <f t="shared" si="117"/>
        <v>0</v>
      </c>
      <c r="AE45" s="12">
        <f t="shared" si="117"/>
        <v>0</v>
      </c>
      <c r="AF45" s="12">
        <f t="shared" si="117"/>
        <v>0</v>
      </c>
      <c r="AG45" s="12">
        <f t="shared" si="117"/>
        <v>0</v>
      </c>
      <c r="AH45" s="12">
        <f t="shared" si="53"/>
        <v>0</v>
      </c>
      <c r="AI45" s="12">
        <f>+Precios!AH43*Precios!AH$3</f>
        <v>0</v>
      </c>
      <c r="AJ45" s="12">
        <f>+Precios!AI43*Precios!AI$3</f>
        <v>0</v>
      </c>
      <c r="AK45" s="12">
        <f>+Precios!AJ43*Precios!AJ$3</f>
        <v>0</v>
      </c>
      <c r="AL45" s="12">
        <f>+Precios!AK43*Precios!AK$3</f>
        <v>0</v>
      </c>
      <c r="AM45" s="12">
        <f>+Precios!AL43*Precios!AL$3</f>
        <v>0</v>
      </c>
      <c r="AN45" s="12"/>
      <c r="AO45" s="12"/>
      <c r="AP45" s="12">
        <f>+Precios!AO43*Precios!AO$3</f>
        <v>0</v>
      </c>
      <c r="AQ45" s="12">
        <f>+Precios!AP43*Precios!AP$3</f>
        <v>0</v>
      </c>
      <c r="AR45" s="12">
        <f>+Precios!AQ43*Precios!AQ$3</f>
        <v>0</v>
      </c>
      <c r="AS45" s="12">
        <f>+Precios!AR43*Precios!AR$3</f>
        <v>0</v>
      </c>
      <c r="AT45" s="12">
        <f>+Precios!AS43*Precios!AS$3</f>
        <v>0</v>
      </c>
      <c r="AU45" s="12">
        <f>+Precios!AT43*Precios!AT$3</f>
        <v>0</v>
      </c>
      <c r="AV45" s="12"/>
      <c r="AW45" s="12">
        <f>+Precios!AV43*Precios!AV$3</f>
        <v>0</v>
      </c>
      <c r="AX45" s="12">
        <f>+Precios!AW43*Precios!AW$3</f>
        <v>0</v>
      </c>
      <c r="AY45" s="12">
        <f>+Precios!AX43*Precios!AX$3</f>
        <v>0</v>
      </c>
      <c r="AZ45" s="12">
        <f>+Precios!AY43*Precios!AY$3</f>
        <v>0</v>
      </c>
      <c r="BA45" s="12">
        <f>+Precios!AZ43*Precios!AZ$3</f>
        <v>0</v>
      </c>
      <c r="BB45" s="12">
        <f>+Precios!BA43*Precios!BA$3</f>
        <v>0</v>
      </c>
      <c r="BC45" s="12">
        <f>+Precios!BB43*Precios!BB$3</f>
        <v>0</v>
      </c>
      <c r="BD45" s="12">
        <f>+Precios!BC43*Precios!BC$3</f>
        <v>0</v>
      </c>
      <c r="BE45" s="12">
        <f>+Precios!BD43*Precios!BD$3</f>
        <v>0</v>
      </c>
      <c r="BF45" s="12">
        <f>+Precios!BE43*Precios!BE$3</f>
        <v>0</v>
      </c>
      <c r="BG45" s="12">
        <f>+Precios!BF43*Precios!BF$3</f>
        <v>0</v>
      </c>
      <c r="BH45" s="12">
        <f>+Precios!BG43*Precios!BG$3</f>
        <v>0</v>
      </c>
      <c r="BI45" s="12">
        <f>+Precios!BH43*Precios!BH$3</f>
        <v>0</v>
      </c>
      <c r="BJ45" s="12">
        <f>+Precios!BI43*Precios!BI$3</f>
        <v>0</v>
      </c>
      <c r="BK45" s="12">
        <f>+Precios!BJ43*Precios!BJ$3</f>
        <v>0</v>
      </c>
      <c r="BL45" s="12">
        <f>+Precios!BK43*Precios!BK$3</f>
        <v>0</v>
      </c>
      <c r="BM45" s="12">
        <f>+Precios!BL43*Precios!BL$3</f>
        <v>0</v>
      </c>
    </row>
    <row r="46" spans="1:65" ht="15" thickBot="1">
      <c r="A46" s="5">
        <f t="shared" si="96"/>
        <v>0</v>
      </c>
      <c r="B46" s="15">
        <f>+Precios!A44</f>
        <v>46034</v>
      </c>
      <c r="C46" s="12">
        <f>+Precios!B44*Precios!B$3</f>
        <v>0</v>
      </c>
      <c r="D46" s="12">
        <f>+Precios!C44*Precios!C$3</f>
        <v>0</v>
      </c>
      <c r="E46" s="12">
        <f>+Precios!D44*Precios!D$3</f>
        <v>0</v>
      </c>
      <c r="F46" s="12">
        <f>+Precios!E44*Precios!E$3</f>
        <v>0</v>
      </c>
      <c r="G46" s="12">
        <f>+Precios!F44*Precios!F$3</f>
        <v>0</v>
      </c>
      <c r="H46" s="12">
        <f>+Precios!G44*Precios!G$3</f>
        <v>0</v>
      </c>
      <c r="I46" s="12">
        <f>+Precios!H44*Precios!H$3</f>
        <v>0</v>
      </c>
      <c r="J46" s="12">
        <f>+Precios!I44*Precios!I$3</f>
        <v>0</v>
      </c>
      <c r="K46" s="12">
        <f>+Precios!J44*Precios!J$3</f>
        <v>0</v>
      </c>
      <c r="L46" s="12">
        <f>+Precios!K44*Precios!K$3</f>
        <v>0</v>
      </c>
      <c r="M46" s="12">
        <f>+Precios!L44*Precios!L$3</f>
        <v>0</v>
      </c>
      <c r="N46" s="12">
        <f>+Precios!M44*Precios!M$3</f>
        <v>0</v>
      </c>
      <c r="O46" s="12">
        <f>+Precios!N44*Precios!N$3</f>
        <v>0</v>
      </c>
      <c r="P46" s="12">
        <f>+Precios!O44*Precios!O$3</f>
        <v>0</v>
      </c>
      <c r="Q46" s="12">
        <f>+Precios!P44*Precios!P$3</f>
        <v>0</v>
      </c>
      <c r="R46" s="12">
        <f>+Precios!Q44*Precios!Q$3</f>
        <v>0</v>
      </c>
      <c r="S46" s="12">
        <f>+Precios!R44*Precios!R$3</f>
        <v>0</v>
      </c>
      <c r="T46" s="12">
        <f t="shared" ref="T46" si="118">+T45</f>
        <v>0</v>
      </c>
      <c r="U46" s="12">
        <f>+Precios!T44*Precios!T$3</f>
        <v>0</v>
      </c>
      <c r="V46" s="12">
        <f t="shared" ref="V46" si="119">+V45</f>
        <v>0</v>
      </c>
      <c r="W46" s="12">
        <f>+Precios!V44*Precios!V$3</f>
        <v>0</v>
      </c>
      <c r="X46" s="12">
        <f>+Precios!W44*Precios!W$3</f>
        <v>0</v>
      </c>
      <c r="Y46" s="12">
        <f>+Precios!X44*Precios!X$3</f>
        <v>0</v>
      </c>
      <c r="Z46" s="12">
        <f>+Precios!Y44*Precios!Y$3</f>
        <v>0</v>
      </c>
      <c r="AA46" s="12">
        <f>+AA45</f>
        <v>0</v>
      </c>
      <c r="AB46" s="12">
        <f t="shared" ref="AB46:AH46" si="120">+AB45</f>
        <v>0</v>
      </c>
      <c r="AC46" s="12">
        <f t="shared" si="120"/>
        <v>0</v>
      </c>
      <c r="AD46" s="12">
        <f t="shared" si="120"/>
        <v>0</v>
      </c>
      <c r="AE46" s="12">
        <f t="shared" si="120"/>
        <v>0</v>
      </c>
      <c r="AF46" s="12">
        <f t="shared" si="120"/>
        <v>0</v>
      </c>
      <c r="AG46" s="12">
        <f t="shared" si="120"/>
        <v>0</v>
      </c>
      <c r="AH46" s="12">
        <f t="shared" si="120"/>
        <v>0</v>
      </c>
      <c r="AI46" s="12">
        <f>+Precios!AH44*Precios!AH$3</f>
        <v>0</v>
      </c>
      <c r="AJ46" s="12">
        <f>+AJ45</f>
        <v>0</v>
      </c>
      <c r="AK46" s="12">
        <f>+Precios!AJ44*Precios!AJ$3</f>
        <v>0</v>
      </c>
      <c r="AL46" s="12">
        <f>+Precios!AK44*Precios!AK$3</f>
        <v>0</v>
      </c>
      <c r="AM46" s="12">
        <f>+Precios!AL44*Precios!AL$3</f>
        <v>0</v>
      </c>
      <c r="AN46" s="12"/>
      <c r="AO46" s="12"/>
      <c r="AP46" s="12">
        <f>+Precios!AO44*Precios!AO$3</f>
        <v>0</v>
      </c>
      <c r="AQ46" s="12">
        <f>+Precios!AP44*Precios!AP$3</f>
        <v>0</v>
      </c>
      <c r="AR46" s="12">
        <f>+Precios!AQ44*Precios!AQ$3</f>
        <v>0</v>
      </c>
      <c r="AS46" s="12">
        <f>+Precios!AR44*Precios!AR$3</f>
        <v>0</v>
      </c>
      <c r="AT46" s="12">
        <f>+Precios!AS44*Precios!AS$3</f>
        <v>0</v>
      </c>
      <c r="AU46" s="12">
        <f>+Precios!AT44*Precios!AT$3</f>
        <v>0</v>
      </c>
      <c r="AV46" s="12"/>
      <c r="AW46" s="12">
        <f>+Precios!AV44*Precios!AV$3</f>
        <v>0</v>
      </c>
      <c r="AX46" s="12">
        <f>+Precios!AW44*Precios!AW$3</f>
        <v>0</v>
      </c>
      <c r="AY46" s="12">
        <f>+Precios!AX44*Precios!AX$3</f>
        <v>0</v>
      </c>
      <c r="AZ46" s="12">
        <f>+Precios!AY44*Precios!AY$3</f>
        <v>0</v>
      </c>
      <c r="BA46" s="12">
        <f>+Precios!AZ44*Precios!AZ$3</f>
        <v>0</v>
      </c>
      <c r="BB46" s="12">
        <f>+Precios!BA44*Precios!BA$3</f>
        <v>0</v>
      </c>
      <c r="BC46" s="12">
        <f>+Precios!BB44*Precios!BB$3</f>
        <v>0</v>
      </c>
      <c r="BD46" s="12">
        <f>+Precios!BC44*Precios!BC$3</f>
        <v>0</v>
      </c>
      <c r="BE46" s="12">
        <f>+Precios!BD44*Precios!BD$3</f>
        <v>0</v>
      </c>
      <c r="BF46" s="12">
        <f>+Precios!BE44*Precios!BE$3</f>
        <v>0</v>
      </c>
      <c r="BG46" s="12">
        <f>+Precios!BF44*Precios!BF$3</f>
        <v>0</v>
      </c>
      <c r="BH46" s="12">
        <f>+Precios!BG44*Precios!BG$3</f>
        <v>0</v>
      </c>
      <c r="BI46" s="12">
        <f>+Precios!BH44*Precios!BH$3</f>
        <v>0</v>
      </c>
      <c r="BJ46" s="12">
        <f>+Precios!BI44*Precios!BI$3</f>
        <v>0</v>
      </c>
      <c r="BK46" s="12">
        <f>+Precios!BJ44*Precios!BJ$3</f>
        <v>0</v>
      </c>
      <c r="BL46" s="12">
        <f>+Precios!BK44*Precios!BK$3</f>
        <v>0</v>
      </c>
      <c r="BM46" s="12">
        <f>+Precios!BL44*Precios!BL$3</f>
        <v>0</v>
      </c>
    </row>
    <row r="47" spans="1:65" ht="15" thickBot="1">
      <c r="A47" s="5">
        <f t="shared" si="96"/>
        <v>0</v>
      </c>
      <c r="B47" s="15">
        <f>+Precios!A45</f>
        <v>46035</v>
      </c>
      <c r="C47" s="12">
        <f>+Precios!B45*Precios!B$3</f>
        <v>0</v>
      </c>
      <c r="D47" s="12">
        <f>+Precios!C45*Precios!C$3</f>
        <v>0</v>
      </c>
      <c r="E47" s="12">
        <f>+Precios!D45*Precios!D$3</f>
        <v>0</v>
      </c>
      <c r="F47" s="12">
        <f>+Precios!E45*Precios!E$3</f>
        <v>0</v>
      </c>
      <c r="G47" s="12">
        <f>+Precios!F45*Precios!F$3</f>
        <v>0</v>
      </c>
      <c r="H47" s="12">
        <f>+Precios!G45*Precios!G$3</f>
        <v>0</v>
      </c>
      <c r="I47" s="12">
        <f>+Precios!H45*Precios!H$3</f>
        <v>0</v>
      </c>
      <c r="J47" s="12">
        <f>+Precios!I45*Precios!I$3</f>
        <v>0</v>
      </c>
      <c r="K47" s="12">
        <f>+Precios!J45*Precios!J$3</f>
        <v>0</v>
      </c>
      <c r="L47" s="12">
        <f>+Precios!K45*Precios!K$3</f>
        <v>0</v>
      </c>
      <c r="M47" s="12">
        <f>+Precios!L45*Precios!L$3</f>
        <v>0</v>
      </c>
      <c r="N47" s="12">
        <f>+Precios!M45*Precios!M$3</f>
        <v>0</v>
      </c>
      <c r="O47" s="12">
        <f>+Precios!N45*Precios!N$3</f>
        <v>0</v>
      </c>
      <c r="P47" s="12">
        <f>+Precios!O45*Precios!O$3</f>
        <v>0</v>
      </c>
      <c r="Q47" s="12">
        <f>+Precios!P45*Precios!P$3</f>
        <v>0</v>
      </c>
      <c r="R47" s="12">
        <f>+Precios!Q45*Precios!Q$3</f>
        <v>0</v>
      </c>
      <c r="S47" s="12">
        <f>+Precios!R45*Precios!R$3</f>
        <v>0</v>
      </c>
      <c r="T47" s="12">
        <f t="shared" ref="T47" si="121">+T46</f>
        <v>0</v>
      </c>
      <c r="U47" s="12">
        <f>+Precios!T45*Precios!T$3</f>
        <v>0</v>
      </c>
      <c r="V47" s="12">
        <f t="shared" ref="V47" si="122">+V46</f>
        <v>0</v>
      </c>
      <c r="W47" s="12">
        <f t="shared" si="51"/>
        <v>0</v>
      </c>
      <c r="X47" s="12">
        <f>+Precios!W45*Precios!W$3</f>
        <v>0</v>
      </c>
      <c r="Y47" s="12">
        <f>+Precios!X45*Precios!X$3</f>
        <v>0</v>
      </c>
      <c r="Z47" s="12">
        <f>+Precios!Y45*Precios!Y$3</f>
        <v>0</v>
      </c>
      <c r="AA47" s="12">
        <f t="shared" ref="AA47:AM60" si="123">+AA46</f>
        <v>0</v>
      </c>
      <c r="AB47" s="12">
        <f t="shared" si="123"/>
        <v>0</v>
      </c>
      <c r="AC47" s="12">
        <f t="shared" si="123"/>
        <v>0</v>
      </c>
      <c r="AD47" s="12">
        <f t="shared" si="123"/>
        <v>0</v>
      </c>
      <c r="AE47" s="12">
        <f t="shared" si="123"/>
        <v>0</v>
      </c>
      <c r="AF47" s="12">
        <f t="shared" si="123"/>
        <v>0</v>
      </c>
      <c r="AG47" s="12">
        <f t="shared" si="123"/>
        <v>0</v>
      </c>
      <c r="AH47" s="12">
        <f t="shared" si="123"/>
        <v>0</v>
      </c>
      <c r="AI47" s="12">
        <f>+Precios!AH45*Precios!AH$3</f>
        <v>0</v>
      </c>
      <c r="AJ47" s="12">
        <f t="shared" si="53"/>
        <v>0</v>
      </c>
      <c r="AK47" s="12">
        <f>+Precios!AJ45*Precios!AJ$3</f>
        <v>0</v>
      </c>
      <c r="AL47" s="12">
        <f>+Precios!AK45*Precios!AK$3</f>
        <v>0</v>
      </c>
      <c r="AM47" s="12">
        <f>+Precios!AL45*Precios!AL$3</f>
        <v>0</v>
      </c>
      <c r="AN47" s="12"/>
      <c r="AO47" s="12"/>
      <c r="AP47" s="12">
        <f>+Precios!AO45*Precios!AO$3</f>
        <v>0</v>
      </c>
      <c r="AQ47" s="12">
        <f>+Precios!AP45*Precios!AP$3</f>
        <v>0</v>
      </c>
      <c r="AR47" s="12">
        <f>+Precios!AQ45*Precios!AQ$3</f>
        <v>0</v>
      </c>
      <c r="AS47" s="12">
        <f>+Precios!AR45*Precios!AR$3</f>
        <v>0</v>
      </c>
      <c r="AT47" s="12">
        <f>+Precios!AS45*Precios!AS$3</f>
        <v>0</v>
      </c>
      <c r="AU47" s="12">
        <f>+Precios!AT45*Precios!AT$3</f>
        <v>0</v>
      </c>
      <c r="AV47" s="12"/>
      <c r="AW47" s="12">
        <f>+Precios!AV45*Precios!AV$3</f>
        <v>0</v>
      </c>
      <c r="AX47" s="12">
        <f>+Precios!AW45*Precios!AW$3</f>
        <v>0</v>
      </c>
      <c r="AY47" s="12">
        <f>+Precios!AX45*Precios!AX$3</f>
        <v>0</v>
      </c>
      <c r="AZ47" s="12">
        <f>+Precios!AY45*Precios!AY$3</f>
        <v>0</v>
      </c>
      <c r="BA47" s="12">
        <f>+Precios!AZ45*Precios!AZ$3</f>
        <v>0</v>
      </c>
      <c r="BB47" s="12">
        <f>+Precios!BA45*Precios!BA$3</f>
        <v>0</v>
      </c>
      <c r="BC47" s="12">
        <f>+Precios!BB45*Precios!BB$3</f>
        <v>0</v>
      </c>
      <c r="BD47" s="12">
        <f>+Precios!BC45*Precios!BC$3</f>
        <v>0</v>
      </c>
      <c r="BE47" s="12">
        <f>+Precios!BD45*Precios!BD$3</f>
        <v>0</v>
      </c>
      <c r="BF47" s="12">
        <f>+Precios!BE45*Precios!BE$3</f>
        <v>0</v>
      </c>
      <c r="BG47" s="12">
        <f>+Precios!BF45*Precios!BF$3</f>
        <v>0</v>
      </c>
      <c r="BH47" s="12">
        <f>+Precios!BG45*Precios!BG$3</f>
        <v>0</v>
      </c>
      <c r="BI47" s="12">
        <f>+Precios!BH45*Precios!BH$3</f>
        <v>0</v>
      </c>
      <c r="BJ47" s="12">
        <f>+Precios!BI45*Precios!BI$3</f>
        <v>0</v>
      </c>
      <c r="BK47" s="12">
        <f>+Precios!BJ45*Precios!BJ$3</f>
        <v>0</v>
      </c>
      <c r="BL47" s="12">
        <f>+Precios!BK45*Precios!BK$3</f>
        <v>0</v>
      </c>
      <c r="BM47" s="12">
        <f>+Precios!BL45*Precios!BL$3</f>
        <v>0</v>
      </c>
    </row>
    <row r="48" spans="1:65" ht="15" thickBot="1">
      <c r="A48" s="5">
        <f t="shared" si="96"/>
        <v>0</v>
      </c>
      <c r="B48" s="15">
        <f>+Precios!A46</f>
        <v>46036</v>
      </c>
      <c r="C48" s="12">
        <f>+Precios!B46*Precios!B$3</f>
        <v>0</v>
      </c>
      <c r="D48" s="12">
        <f>+Precios!C46*Precios!C$3</f>
        <v>0</v>
      </c>
      <c r="E48" s="12">
        <f>+Precios!D46*Precios!D$3</f>
        <v>0</v>
      </c>
      <c r="F48" s="12">
        <f>+Precios!E46*Precios!E$3</f>
        <v>0</v>
      </c>
      <c r="G48" s="12">
        <f>+Precios!F46*Precios!F$3</f>
        <v>0</v>
      </c>
      <c r="H48" s="12">
        <f>+Precios!G46*Precios!G$3</f>
        <v>0</v>
      </c>
      <c r="I48" s="12">
        <f>+Precios!H46*Precios!H$3</f>
        <v>0</v>
      </c>
      <c r="J48" s="12">
        <f>+Precios!I46*Precios!I$3</f>
        <v>0</v>
      </c>
      <c r="K48" s="12">
        <f>+Precios!J46*Precios!J$3</f>
        <v>0</v>
      </c>
      <c r="L48" s="12">
        <f>+Precios!K46*Precios!K$3</f>
        <v>0</v>
      </c>
      <c r="M48" s="12">
        <f>+Precios!L46*Precios!L$3</f>
        <v>0</v>
      </c>
      <c r="N48" s="12">
        <f>+Precios!M46*Precios!M$3</f>
        <v>0</v>
      </c>
      <c r="O48" s="12">
        <f>+Precios!N46*Precios!N$3</f>
        <v>0</v>
      </c>
      <c r="P48" s="12">
        <f>+Precios!O46*Precios!O$3</f>
        <v>0</v>
      </c>
      <c r="Q48" s="12">
        <f>+Precios!P46*Precios!P$3</f>
        <v>0</v>
      </c>
      <c r="R48" s="12">
        <f>+Precios!Q46*Precios!Q$3</f>
        <v>0</v>
      </c>
      <c r="S48" s="12">
        <f>+Precios!R46*Precios!R$3</f>
        <v>0</v>
      </c>
      <c r="T48" s="12"/>
      <c r="U48" s="12">
        <f>+Precios!T46*Precios!T$3</f>
        <v>0</v>
      </c>
      <c r="V48" s="12">
        <f t="shared" ref="V48" si="124">+V47</f>
        <v>0</v>
      </c>
      <c r="W48" s="12">
        <f t="shared" si="51"/>
        <v>0</v>
      </c>
      <c r="X48" s="12">
        <f>+Precios!W46*Precios!W$3</f>
        <v>0</v>
      </c>
      <c r="Y48" s="12">
        <f>+Precios!X46*Precios!X$3</f>
        <v>0</v>
      </c>
      <c r="Z48" s="12">
        <f>+Precios!Y46*Precios!Y$3</f>
        <v>0</v>
      </c>
      <c r="AA48" s="12">
        <f t="shared" si="123"/>
        <v>0</v>
      </c>
      <c r="AB48" s="12">
        <f t="shared" si="123"/>
        <v>0</v>
      </c>
      <c r="AC48" s="12">
        <f t="shared" si="123"/>
        <v>0</v>
      </c>
      <c r="AD48" s="12">
        <f t="shared" si="123"/>
        <v>0</v>
      </c>
      <c r="AE48" s="12">
        <f t="shared" si="123"/>
        <v>0</v>
      </c>
      <c r="AF48" s="12">
        <f t="shared" si="123"/>
        <v>0</v>
      </c>
      <c r="AG48" s="12">
        <f t="shared" si="123"/>
        <v>0</v>
      </c>
      <c r="AH48" s="12">
        <f t="shared" si="123"/>
        <v>0</v>
      </c>
      <c r="AI48" s="12">
        <f>+Precios!AH46*Precios!AH$3</f>
        <v>0</v>
      </c>
      <c r="AJ48" s="12">
        <f t="shared" si="53"/>
        <v>0</v>
      </c>
      <c r="AK48" s="12">
        <f>+Precios!AJ46*Precios!AJ$3</f>
        <v>0</v>
      </c>
      <c r="AL48" s="12">
        <f>+Precios!AK46*Precios!AK$3</f>
        <v>0</v>
      </c>
      <c r="AM48" s="12">
        <f>+Precios!AL46*Precios!AL$3</f>
        <v>0</v>
      </c>
      <c r="AN48" s="12"/>
      <c r="AO48" s="12"/>
      <c r="AP48" s="12">
        <f>+Precios!AO46*Precios!AO$3</f>
        <v>0</v>
      </c>
      <c r="AQ48" s="12">
        <f>+Precios!AP46*Precios!AP$3</f>
        <v>0</v>
      </c>
      <c r="AR48" s="12">
        <f>+Precios!AQ46*Precios!AQ$3</f>
        <v>0</v>
      </c>
      <c r="AS48" s="12">
        <f>+Precios!AR46*Precios!AR$3</f>
        <v>0</v>
      </c>
      <c r="AT48" s="12">
        <f>+Precios!AS46*Precios!AS$3</f>
        <v>0</v>
      </c>
      <c r="AU48" s="12">
        <f>+Precios!AT46*Precios!AT$3</f>
        <v>0</v>
      </c>
      <c r="AV48" s="12"/>
      <c r="AW48" s="12">
        <f>+Precios!AV46*Precios!AV$3</f>
        <v>0</v>
      </c>
      <c r="AX48" s="12">
        <f>+Precios!AW46*Precios!AW$3</f>
        <v>0</v>
      </c>
      <c r="AY48" s="12">
        <f>+Precios!AX46*Precios!AX$3</f>
        <v>0</v>
      </c>
      <c r="AZ48" s="12">
        <f>+Precios!AY46*Precios!AY$3</f>
        <v>0</v>
      </c>
      <c r="BA48" s="12">
        <f>+Precios!AZ46*Precios!AZ$3</f>
        <v>0</v>
      </c>
      <c r="BB48" s="12">
        <f>+Precios!BA46*Precios!BA$3</f>
        <v>0</v>
      </c>
      <c r="BC48" s="12">
        <f>+Precios!BB46*Precios!BB$3</f>
        <v>0</v>
      </c>
      <c r="BD48" s="12">
        <f>+Precios!BC46*Precios!BC$3</f>
        <v>0</v>
      </c>
      <c r="BE48" s="12">
        <f>+Precios!BD46*Precios!BD$3</f>
        <v>0</v>
      </c>
      <c r="BF48" s="12">
        <f>+Precios!BE46*Precios!BE$3</f>
        <v>0</v>
      </c>
      <c r="BG48" s="12">
        <f>+Precios!BF46*Precios!BF$3</f>
        <v>0</v>
      </c>
      <c r="BH48" s="12">
        <f>+Precios!BG46*Precios!BG$3</f>
        <v>0</v>
      </c>
      <c r="BI48" s="12">
        <f>+Precios!BH46*Precios!BH$3</f>
        <v>0</v>
      </c>
      <c r="BJ48" s="12">
        <f>+Precios!BI46*Precios!BI$3</f>
        <v>0</v>
      </c>
      <c r="BK48" s="12">
        <f>+Precios!BJ46*Precios!BJ$3</f>
        <v>0</v>
      </c>
      <c r="BL48" s="12">
        <f>+Precios!BK46*Precios!BK$3</f>
        <v>0</v>
      </c>
      <c r="BM48" s="12">
        <f>+Precios!BL46*Precios!BL$3</f>
        <v>0</v>
      </c>
    </row>
    <row r="49" spans="1:65" ht="15" thickBot="1">
      <c r="A49" s="5">
        <f t="shared" si="96"/>
        <v>0</v>
      </c>
      <c r="B49" s="15">
        <f>+Precios!A47</f>
        <v>46037</v>
      </c>
      <c r="C49" s="12">
        <f>+Precios!B47*Precios!B$3</f>
        <v>0</v>
      </c>
      <c r="D49" s="12">
        <f>+Precios!C47*Precios!C$3</f>
        <v>0</v>
      </c>
      <c r="E49" s="12">
        <f>+Precios!D47*Precios!D$3</f>
        <v>0</v>
      </c>
      <c r="F49" s="12">
        <f>+Precios!E47*Precios!E$3</f>
        <v>0</v>
      </c>
      <c r="G49" s="12">
        <f>+Precios!F47*Precios!F$3</f>
        <v>0</v>
      </c>
      <c r="H49" s="12">
        <f>+Precios!G47*Precios!G$3</f>
        <v>0</v>
      </c>
      <c r="I49" s="12">
        <f>+Precios!H47*Precios!H$3</f>
        <v>0</v>
      </c>
      <c r="J49" s="12">
        <f>+Precios!I47*Precios!I$3</f>
        <v>0</v>
      </c>
      <c r="K49" s="12">
        <f>+Precios!J47*Precios!J$3</f>
        <v>0</v>
      </c>
      <c r="L49" s="12">
        <f>+Precios!K47*Precios!K$3</f>
        <v>0</v>
      </c>
      <c r="M49" s="12">
        <f>+Precios!L47*Precios!L$3</f>
        <v>0</v>
      </c>
      <c r="N49" s="12">
        <f>+Precios!M47*Precios!M$3</f>
        <v>0</v>
      </c>
      <c r="O49" s="12">
        <f>+Precios!N47*Precios!N$3</f>
        <v>0</v>
      </c>
      <c r="P49" s="12">
        <f>+Precios!O47*Precios!O$3</f>
        <v>0</v>
      </c>
      <c r="Q49" s="12">
        <f>+Precios!P47*Precios!P$3</f>
        <v>0</v>
      </c>
      <c r="R49" s="12">
        <f>+Precios!Q47*Precios!Q$3</f>
        <v>0</v>
      </c>
      <c r="S49" s="12">
        <f>+Precios!R47*Precios!R$3</f>
        <v>0</v>
      </c>
      <c r="T49" s="12"/>
      <c r="U49" s="12">
        <f t="shared" ref="U49:V50" si="125">+U48</f>
        <v>0</v>
      </c>
      <c r="V49" s="12">
        <f t="shared" si="125"/>
        <v>0</v>
      </c>
      <c r="W49" s="12">
        <f t="shared" si="51"/>
        <v>0</v>
      </c>
      <c r="X49" s="12">
        <f t="shared" si="51"/>
        <v>0</v>
      </c>
      <c r="Y49" s="12">
        <f>+Precios!X47*Precios!X$3</f>
        <v>0</v>
      </c>
      <c r="Z49" s="12">
        <f>+Precios!Y47*Precios!Y$3</f>
        <v>0</v>
      </c>
      <c r="AA49" s="12">
        <f t="shared" si="123"/>
        <v>0</v>
      </c>
      <c r="AB49" s="12">
        <f t="shared" si="123"/>
        <v>0</v>
      </c>
      <c r="AC49" s="12">
        <f t="shared" si="123"/>
        <v>0</v>
      </c>
      <c r="AD49" s="12">
        <f t="shared" si="123"/>
        <v>0</v>
      </c>
      <c r="AE49" s="12">
        <f t="shared" si="123"/>
        <v>0</v>
      </c>
      <c r="AF49" s="12">
        <f t="shared" si="123"/>
        <v>0</v>
      </c>
      <c r="AG49" s="12">
        <f t="shared" si="123"/>
        <v>0</v>
      </c>
      <c r="AH49" s="12">
        <f t="shared" si="123"/>
        <v>0</v>
      </c>
      <c r="AI49" s="12">
        <f t="shared" si="53"/>
        <v>0</v>
      </c>
      <c r="AJ49" s="12">
        <f t="shared" si="53"/>
        <v>0</v>
      </c>
      <c r="AK49" s="12">
        <f>+Precios!AJ47*Precios!AJ$3</f>
        <v>0</v>
      </c>
      <c r="AL49" s="12">
        <f>+Precios!AK47*Precios!AK$3</f>
        <v>0</v>
      </c>
      <c r="AM49" s="12">
        <f>+Precios!AL47*Precios!AL$3</f>
        <v>0</v>
      </c>
      <c r="AN49" s="12"/>
      <c r="AO49" s="12"/>
      <c r="AP49" s="12">
        <f>+Precios!AO47*Precios!AO$3</f>
        <v>0</v>
      </c>
      <c r="AQ49" s="12">
        <f>+Precios!AP47*Precios!AP$3</f>
        <v>0</v>
      </c>
      <c r="AR49" s="12">
        <f>+Precios!AQ47*Precios!AQ$3</f>
        <v>0</v>
      </c>
      <c r="AS49" s="12">
        <f>+Precios!AR47*Precios!AR$3</f>
        <v>0</v>
      </c>
      <c r="AT49" s="12">
        <f>+Precios!AS47*Precios!AS$3</f>
        <v>0</v>
      </c>
      <c r="AU49" s="12">
        <f>+Precios!AT47*Precios!AT$3</f>
        <v>0</v>
      </c>
      <c r="AV49" s="12"/>
      <c r="AW49" s="12">
        <f>+Precios!AV47*Precios!AV$3</f>
        <v>0</v>
      </c>
      <c r="AX49" s="12">
        <f>+Precios!AW47*Precios!AW$3</f>
        <v>0</v>
      </c>
      <c r="AY49" s="12">
        <f>+Precios!AX47*Precios!AX$3</f>
        <v>0</v>
      </c>
      <c r="AZ49" s="12">
        <f>+Precios!AY47*Precios!AY$3</f>
        <v>0</v>
      </c>
      <c r="BA49" s="12">
        <f>+Precios!AZ47*Precios!AZ$3</f>
        <v>0</v>
      </c>
      <c r="BB49" s="12">
        <f>+Precios!BA47*Precios!BA$3</f>
        <v>0</v>
      </c>
      <c r="BC49" s="12">
        <f>+Precios!BB47*Precios!BB$3</f>
        <v>0</v>
      </c>
      <c r="BD49" s="12">
        <f>+Precios!BC47*Precios!BC$3</f>
        <v>0</v>
      </c>
      <c r="BE49" s="12">
        <f>+Precios!BD47*Precios!BD$3</f>
        <v>0</v>
      </c>
      <c r="BF49" s="12">
        <f>+Precios!BE47*Precios!BE$3</f>
        <v>0</v>
      </c>
      <c r="BG49" s="12">
        <f>+Precios!BF47*Precios!BF$3</f>
        <v>0</v>
      </c>
      <c r="BH49" s="12">
        <f>+Precios!BG47*Precios!BG$3</f>
        <v>0</v>
      </c>
      <c r="BI49" s="12">
        <f>+Precios!BH47*Precios!BH$3</f>
        <v>0</v>
      </c>
      <c r="BJ49" s="12">
        <f>+Precios!BI47*Precios!BI$3</f>
        <v>0</v>
      </c>
      <c r="BK49" s="12">
        <f>+Precios!BJ47*Precios!BJ$3</f>
        <v>0</v>
      </c>
      <c r="BL49" s="12">
        <f>+Precios!BK47*Precios!BK$3</f>
        <v>0</v>
      </c>
      <c r="BM49" s="12">
        <f>+Precios!BL47*Precios!BL$3</f>
        <v>0</v>
      </c>
    </row>
    <row r="50" spans="1:65" ht="15" thickBot="1">
      <c r="A50" s="5">
        <f t="shared" si="96"/>
        <v>0</v>
      </c>
      <c r="B50" s="15">
        <f>+Precios!A48</f>
        <v>46038</v>
      </c>
      <c r="C50" s="12">
        <f>+Precios!B48*Precios!B$3</f>
        <v>0</v>
      </c>
      <c r="D50" s="12">
        <f>+Precios!C48*Precios!C$3</f>
        <v>0</v>
      </c>
      <c r="E50" s="12">
        <f>+Precios!D48*Precios!D$3</f>
        <v>0</v>
      </c>
      <c r="F50" s="12">
        <f>+Precios!E48*Precios!E$3</f>
        <v>0</v>
      </c>
      <c r="G50" s="12">
        <f>+Precios!F48*Precios!F$3</f>
        <v>0</v>
      </c>
      <c r="H50" s="12">
        <f>+Precios!G48*Precios!G$3</f>
        <v>0</v>
      </c>
      <c r="I50" s="12">
        <f>+Precios!H48*Precios!H$3</f>
        <v>0</v>
      </c>
      <c r="J50" s="12">
        <f>+Precios!I48*Precios!I$3</f>
        <v>0</v>
      </c>
      <c r="K50" s="12">
        <f>+Precios!J48*Precios!J$3</f>
        <v>0</v>
      </c>
      <c r="L50" s="12">
        <f>+Precios!K48*Precios!K$3</f>
        <v>0</v>
      </c>
      <c r="M50" s="12">
        <f>+Precios!L48*Precios!L$3</f>
        <v>0</v>
      </c>
      <c r="N50" s="12">
        <f>+Precios!M48*Precios!M$3</f>
        <v>0</v>
      </c>
      <c r="O50" s="12">
        <f>+Precios!N48*Precios!N$3</f>
        <v>0</v>
      </c>
      <c r="P50" s="12">
        <f>+Precios!O48*Precios!O$3</f>
        <v>0</v>
      </c>
      <c r="Q50" s="12">
        <f>+Precios!P48*Precios!P$3</f>
        <v>0</v>
      </c>
      <c r="R50" s="12">
        <f>+Precios!Q48*Precios!Q$3</f>
        <v>0</v>
      </c>
      <c r="S50" s="12">
        <f>+Precios!R48*Precios!R$3</f>
        <v>0</v>
      </c>
      <c r="T50" s="12"/>
      <c r="U50" s="12">
        <f t="shared" si="125"/>
        <v>0</v>
      </c>
      <c r="V50" s="12">
        <f t="shared" si="125"/>
        <v>0</v>
      </c>
      <c r="W50" s="12">
        <f t="shared" si="51"/>
        <v>0</v>
      </c>
      <c r="X50" s="12">
        <f t="shared" si="51"/>
        <v>0</v>
      </c>
      <c r="Y50" s="12">
        <f>+Precios!X48*Precios!X$3</f>
        <v>0</v>
      </c>
      <c r="Z50" s="12">
        <f>+Precios!Y48*Precios!Y$3</f>
        <v>0</v>
      </c>
      <c r="AA50" s="12">
        <f t="shared" si="123"/>
        <v>0</v>
      </c>
      <c r="AB50" s="12">
        <f t="shared" si="123"/>
        <v>0</v>
      </c>
      <c r="AC50" s="12">
        <f t="shared" si="123"/>
        <v>0</v>
      </c>
      <c r="AD50" s="12">
        <f t="shared" si="123"/>
        <v>0</v>
      </c>
      <c r="AE50" s="12">
        <f t="shared" si="123"/>
        <v>0</v>
      </c>
      <c r="AF50" s="12">
        <f t="shared" si="123"/>
        <v>0</v>
      </c>
      <c r="AG50" s="12">
        <f t="shared" si="123"/>
        <v>0</v>
      </c>
      <c r="AH50" s="12">
        <f t="shared" si="123"/>
        <v>0</v>
      </c>
      <c r="AI50" s="12">
        <f t="shared" si="53"/>
        <v>0</v>
      </c>
      <c r="AJ50" s="12">
        <f t="shared" si="53"/>
        <v>0</v>
      </c>
      <c r="AK50" s="12">
        <f>+Precios!AJ48*Precios!AJ$3</f>
        <v>0</v>
      </c>
      <c r="AL50" s="12">
        <f>+Precios!AK48*Precios!AK$3</f>
        <v>0</v>
      </c>
      <c r="AM50" s="12">
        <f>+Precios!AL48*Precios!AL$3</f>
        <v>0</v>
      </c>
      <c r="AN50" s="12"/>
      <c r="AO50" s="12"/>
      <c r="AP50" s="12">
        <f>+Precios!AO48*Precios!AO$3</f>
        <v>0</v>
      </c>
      <c r="AQ50" s="12">
        <f>+Precios!AP48*Precios!AP$3</f>
        <v>0</v>
      </c>
      <c r="AR50" s="12">
        <f>+Precios!AQ48*Precios!AQ$3</f>
        <v>0</v>
      </c>
      <c r="AS50" s="12">
        <f>+Precios!AR48*Precios!AR$3</f>
        <v>0</v>
      </c>
      <c r="AT50" s="12">
        <f>+Precios!AS48*Precios!AS$3</f>
        <v>0</v>
      </c>
      <c r="AU50" s="12">
        <f>+Precios!AT48*Precios!AT$3</f>
        <v>0</v>
      </c>
      <c r="AV50" s="12"/>
      <c r="AW50" s="12">
        <f>+Precios!AV48*Precios!AV$3</f>
        <v>0</v>
      </c>
      <c r="AX50" s="12">
        <f>+Precios!AW48*Precios!AW$3</f>
        <v>0</v>
      </c>
      <c r="AY50" s="12">
        <f>+Precios!AX48*Precios!AX$3</f>
        <v>0</v>
      </c>
      <c r="AZ50" s="12">
        <f>+Precios!AY48*Precios!AY$3</f>
        <v>0</v>
      </c>
      <c r="BA50" s="12">
        <f>+Precios!AZ48*Precios!AZ$3</f>
        <v>0</v>
      </c>
      <c r="BB50" s="12">
        <f>+Precios!BA48*Precios!BA$3</f>
        <v>0</v>
      </c>
      <c r="BC50" s="12">
        <f>+Precios!BB48*Precios!BB$3</f>
        <v>0</v>
      </c>
      <c r="BD50" s="12">
        <f>+Precios!BC48*Precios!BC$3</f>
        <v>0</v>
      </c>
      <c r="BE50" s="12">
        <f>+Precios!BD48*Precios!BD$3</f>
        <v>0</v>
      </c>
      <c r="BF50" s="12">
        <f>+Precios!BE48*Precios!BE$3</f>
        <v>0</v>
      </c>
      <c r="BG50" s="12">
        <f>+Precios!BF48*Precios!BF$3</f>
        <v>0</v>
      </c>
      <c r="BH50" s="12">
        <f>+Precios!BG48*Precios!BG$3</f>
        <v>0</v>
      </c>
      <c r="BI50" s="12">
        <f>+Precios!BH48*Precios!BH$3</f>
        <v>0</v>
      </c>
      <c r="BJ50" s="12">
        <f>+Precios!BI48*Precios!BI$3</f>
        <v>0</v>
      </c>
      <c r="BK50" s="12">
        <f>+Precios!BJ48*Precios!BJ$3</f>
        <v>0</v>
      </c>
      <c r="BL50" s="12">
        <f>+Precios!BK48*Precios!BK$3</f>
        <v>0</v>
      </c>
      <c r="BM50" s="12">
        <f>+Precios!BL48*Precios!BL$3</f>
        <v>0</v>
      </c>
    </row>
    <row r="51" spans="1:65" ht="15" thickBot="1">
      <c r="A51" s="5">
        <f t="shared" si="96"/>
        <v>0</v>
      </c>
      <c r="B51" s="15">
        <f>+Precios!A49</f>
        <v>46041</v>
      </c>
      <c r="C51" s="12">
        <f>+Precios!B49*Precios!B$3</f>
        <v>0</v>
      </c>
      <c r="D51" s="12">
        <f>+Precios!C49*Precios!C$3</f>
        <v>0</v>
      </c>
      <c r="E51" s="12">
        <f>+Precios!D49*Precios!D$3</f>
        <v>0</v>
      </c>
      <c r="F51" s="12">
        <f>+Precios!E49*Precios!E$3</f>
        <v>0</v>
      </c>
      <c r="G51" s="12">
        <f>+Precios!F49*Precios!F$3</f>
        <v>0</v>
      </c>
      <c r="H51" s="12">
        <f>+Precios!G49*Precios!G$3</f>
        <v>0</v>
      </c>
      <c r="I51" s="12">
        <f>+Precios!H49*Precios!H$3</f>
        <v>0</v>
      </c>
      <c r="J51" s="12">
        <f>+Precios!I49*Precios!I$3</f>
        <v>0</v>
      </c>
      <c r="K51" s="12">
        <f>+Precios!J49*Precios!J$3</f>
        <v>0</v>
      </c>
      <c r="L51" s="12">
        <f>+Precios!K49*Precios!K$3</f>
        <v>0</v>
      </c>
      <c r="M51" s="12">
        <f>+Precios!L49*Precios!L$3</f>
        <v>0</v>
      </c>
      <c r="N51" s="12">
        <f>+Precios!M49*Precios!M$3</f>
        <v>0</v>
      </c>
      <c r="O51" s="12">
        <f>+Precios!N49*Precios!N$3</f>
        <v>0</v>
      </c>
      <c r="P51" s="12">
        <f>+Precios!O49*Precios!O$3</f>
        <v>0</v>
      </c>
      <c r="Q51" s="12">
        <f>+Precios!P49*Precios!P$3</f>
        <v>0</v>
      </c>
      <c r="R51" s="12">
        <f>+Precios!Q49*Precios!Q$3</f>
        <v>0</v>
      </c>
      <c r="S51" s="12">
        <f>+Precios!R49*Precios!R$3</f>
        <v>0</v>
      </c>
      <c r="T51" s="12"/>
      <c r="U51" s="12">
        <f t="shared" ref="U51:X51" si="126">+U50</f>
        <v>0</v>
      </c>
      <c r="V51" s="12">
        <f t="shared" si="126"/>
        <v>0</v>
      </c>
      <c r="W51" s="12">
        <f t="shared" si="126"/>
        <v>0</v>
      </c>
      <c r="X51" s="12">
        <f t="shared" si="126"/>
        <v>0</v>
      </c>
      <c r="Y51" s="12">
        <f>+Precios!X49*Precios!X$3</f>
        <v>0</v>
      </c>
      <c r="Z51" s="12">
        <f>+Precios!Y49*Precios!Y$3</f>
        <v>0</v>
      </c>
      <c r="AA51" s="12">
        <f t="shared" si="123"/>
        <v>0</v>
      </c>
      <c r="AB51" s="12">
        <f t="shared" si="123"/>
        <v>0</v>
      </c>
      <c r="AC51" s="12">
        <f t="shared" si="123"/>
        <v>0</v>
      </c>
      <c r="AD51" s="12">
        <f t="shared" si="123"/>
        <v>0</v>
      </c>
      <c r="AE51" s="12">
        <f t="shared" si="123"/>
        <v>0</v>
      </c>
      <c r="AF51" s="12">
        <f t="shared" si="123"/>
        <v>0</v>
      </c>
      <c r="AG51" s="12">
        <f t="shared" si="123"/>
        <v>0</v>
      </c>
      <c r="AH51" s="12">
        <f t="shared" si="123"/>
        <v>0</v>
      </c>
      <c r="AI51" s="12">
        <f t="shared" si="123"/>
        <v>0</v>
      </c>
      <c r="AJ51" s="12">
        <f t="shared" si="123"/>
        <v>0</v>
      </c>
      <c r="AK51" s="12">
        <f>+Precios!AJ49*Precios!AJ$3</f>
        <v>0</v>
      </c>
      <c r="AL51" s="12">
        <f>+Precios!AK49*Precios!AK$3</f>
        <v>0</v>
      </c>
      <c r="AM51" s="12">
        <f>+Precios!AL49*Precios!AL$3</f>
        <v>0</v>
      </c>
      <c r="AN51" s="12"/>
      <c r="AO51" s="12"/>
      <c r="AP51" s="12">
        <f>+Precios!AO49*Precios!AO$3</f>
        <v>0</v>
      </c>
      <c r="AQ51" s="12">
        <f>+Precios!AP49*Precios!AP$3</f>
        <v>0</v>
      </c>
      <c r="AR51" s="12">
        <f>+Precios!AQ49*Precios!AQ$3</f>
        <v>0</v>
      </c>
      <c r="AS51" s="12">
        <f>+Precios!AR49*Precios!AR$3</f>
        <v>0</v>
      </c>
      <c r="AT51" s="12">
        <f>+Precios!AS49*Precios!AS$3</f>
        <v>0</v>
      </c>
      <c r="AU51" s="12">
        <f>+Precios!AT49*Precios!AT$3</f>
        <v>0</v>
      </c>
      <c r="AV51" s="12"/>
      <c r="AW51" s="12">
        <f>+Precios!AV49*Precios!AV$3</f>
        <v>0</v>
      </c>
      <c r="AX51" s="12">
        <f>+Precios!AW49*Precios!AW$3</f>
        <v>0</v>
      </c>
      <c r="AY51" s="12">
        <f>+Precios!AX49*Precios!AX$3</f>
        <v>0</v>
      </c>
      <c r="AZ51" s="12">
        <f>+Precios!AY49*Precios!AY$3</f>
        <v>0</v>
      </c>
      <c r="BA51" s="12">
        <f>+Precios!AZ49*Precios!AZ$3</f>
        <v>0</v>
      </c>
      <c r="BB51" s="12">
        <f>+Precios!BA49*Precios!BA$3</f>
        <v>0</v>
      </c>
      <c r="BC51" s="12">
        <f>+Precios!BB49*Precios!BB$3</f>
        <v>0</v>
      </c>
      <c r="BD51" s="12">
        <f>+Precios!BC49*Precios!BC$3</f>
        <v>0</v>
      </c>
      <c r="BE51" s="12">
        <f>+Precios!BD49*Precios!BD$3</f>
        <v>0</v>
      </c>
      <c r="BF51" s="12">
        <f>+Precios!BE49*Precios!BE$3</f>
        <v>0</v>
      </c>
      <c r="BG51" s="12">
        <f>+Precios!BF49*Precios!BF$3</f>
        <v>0</v>
      </c>
      <c r="BH51" s="12">
        <f>+Precios!BG49*Precios!BG$3</f>
        <v>0</v>
      </c>
      <c r="BI51" s="12">
        <f>+Precios!BH49*Precios!BH$3</f>
        <v>0</v>
      </c>
      <c r="BJ51" s="12">
        <f>+Precios!BI49*Precios!BI$3</f>
        <v>0</v>
      </c>
      <c r="BK51" s="12">
        <f>+Precios!BJ49*Precios!BJ$3</f>
        <v>0</v>
      </c>
      <c r="BL51" s="12">
        <f>+Precios!BK49*Precios!BK$3</f>
        <v>0</v>
      </c>
      <c r="BM51" s="12">
        <f>+Precios!BL49*Precios!BL$3</f>
        <v>0</v>
      </c>
    </row>
    <row r="52" spans="1:65" ht="15" thickBot="1">
      <c r="A52" s="5">
        <f t="shared" si="96"/>
        <v>0</v>
      </c>
      <c r="B52" s="15">
        <f>+Precios!A50</f>
        <v>46042</v>
      </c>
      <c r="C52" s="12">
        <f>+Precios!B50*Precios!B$3</f>
        <v>0</v>
      </c>
      <c r="D52" s="12">
        <f>+Precios!C50*Precios!C$3</f>
        <v>0</v>
      </c>
      <c r="E52" s="12">
        <f>+Precios!D50*Precios!D$3</f>
        <v>0</v>
      </c>
      <c r="F52" s="12">
        <f>+Precios!E50*Precios!E$3</f>
        <v>0</v>
      </c>
      <c r="G52" s="12">
        <f>+Precios!F50*Precios!F$3</f>
        <v>0</v>
      </c>
      <c r="H52" s="12">
        <f>+Precios!G50*Precios!G$3</f>
        <v>0</v>
      </c>
      <c r="I52" s="12">
        <f>+Precios!H50*Precios!H$3</f>
        <v>0</v>
      </c>
      <c r="J52" s="12">
        <f>+Precios!I50*Precios!I$3</f>
        <v>0</v>
      </c>
      <c r="K52" s="12">
        <f>+Precios!J50*Precios!J$3</f>
        <v>0</v>
      </c>
      <c r="L52" s="12">
        <f>+Precios!K50*Precios!K$3</f>
        <v>0</v>
      </c>
      <c r="M52" s="12">
        <f>+Precios!L50*Precios!L$3</f>
        <v>0</v>
      </c>
      <c r="N52" s="12">
        <f>+Precios!M50*Precios!M$3</f>
        <v>0</v>
      </c>
      <c r="O52" s="12">
        <f>+Precios!N50*Precios!N$3</f>
        <v>0</v>
      </c>
      <c r="P52" s="12">
        <f>+Precios!O50*Precios!O$3</f>
        <v>0</v>
      </c>
      <c r="Q52" s="12">
        <f>+Precios!P50*Precios!P$3</f>
        <v>0</v>
      </c>
      <c r="R52" s="12">
        <f>+Precios!Q50*Precios!Q$3</f>
        <v>0</v>
      </c>
      <c r="S52" s="12">
        <f>+Precios!R50*Precios!R$3</f>
        <v>0</v>
      </c>
      <c r="T52" s="12"/>
      <c r="U52" s="12">
        <f t="shared" ref="U52:X52" si="127">+U51</f>
        <v>0</v>
      </c>
      <c r="V52" s="12">
        <f t="shared" si="127"/>
        <v>0</v>
      </c>
      <c r="W52" s="12">
        <f t="shared" si="127"/>
        <v>0</v>
      </c>
      <c r="X52" s="12">
        <f t="shared" si="127"/>
        <v>0</v>
      </c>
      <c r="Y52" s="12">
        <f>+Precios!X50*Precios!X$3</f>
        <v>0</v>
      </c>
      <c r="Z52" s="12">
        <f>+Precios!Y50*Precios!Y$3</f>
        <v>0</v>
      </c>
      <c r="AA52" s="12">
        <f t="shared" si="123"/>
        <v>0</v>
      </c>
      <c r="AB52" s="12">
        <f t="shared" si="123"/>
        <v>0</v>
      </c>
      <c r="AC52" s="12">
        <f t="shared" si="123"/>
        <v>0</v>
      </c>
      <c r="AD52" s="12">
        <f t="shared" si="123"/>
        <v>0</v>
      </c>
      <c r="AE52" s="12">
        <f t="shared" si="123"/>
        <v>0</v>
      </c>
      <c r="AF52" s="12">
        <f t="shared" si="123"/>
        <v>0</v>
      </c>
      <c r="AG52" s="12">
        <f t="shared" si="123"/>
        <v>0</v>
      </c>
      <c r="AH52" s="12">
        <f t="shared" si="123"/>
        <v>0</v>
      </c>
      <c r="AI52" s="12">
        <f t="shared" si="123"/>
        <v>0</v>
      </c>
      <c r="AJ52" s="12">
        <f t="shared" si="123"/>
        <v>0</v>
      </c>
      <c r="AK52" s="12">
        <f>+Precios!AJ50*Precios!AJ$3</f>
        <v>0</v>
      </c>
      <c r="AL52" s="12">
        <f>+Precios!AK50*Precios!AK$3</f>
        <v>0</v>
      </c>
      <c r="AM52" s="12">
        <f>+Precios!AL50*Precios!AL$3</f>
        <v>0</v>
      </c>
      <c r="AN52" s="12"/>
      <c r="AO52" s="12"/>
      <c r="AP52" s="12">
        <f>+Precios!AO50*Precios!AO$3</f>
        <v>0</v>
      </c>
      <c r="AQ52" s="12">
        <f>+Precios!AP50*Precios!AP$3</f>
        <v>0</v>
      </c>
      <c r="AR52" s="12">
        <f>+Precios!AQ50*Precios!AQ$3</f>
        <v>0</v>
      </c>
      <c r="AS52" s="12">
        <f>+Precios!AR50*Precios!AR$3</f>
        <v>0</v>
      </c>
      <c r="AT52" s="12">
        <f>+Precios!AS50*Precios!AS$3</f>
        <v>0</v>
      </c>
      <c r="AU52" s="12">
        <f>+Precios!AT50*Precios!AT$3</f>
        <v>0</v>
      </c>
      <c r="AV52" s="12"/>
      <c r="AW52" s="12">
        <f>+Precios!AV50*Precios!AV$3</f>
        <v>0</v>
      </c>
      <c r="AX52" s="12">
        <f>+Precios!AW50*Precios!AW$3</f>
        <v>0</v>
      </c>
      <c r="AY52" s="12">
        <f>+Precios!AX50*Precios!AX$3</f>
        <v>0</v>
      </c>
      <c r="AZ52" s="12">
        <f>+Precios!AY50*Precios!AY$3</f>
        <v>0</v>
      </c>
      <c r="BA52" s="12">
        <f>+Precios!AZ50*Precios!AZ$3</f>
        <v>0</v>
      </c>
      <c r="BB52" s="12">
        <f>+Precios!BA50*Precios!BA$3</f>
        <v>0</v>
      </c>
      <c r="BC52" s="12">
        <f>+Precios!BB50*Precios!BB$3</f>
        <v>0</v>
      </c>
      <c r="BD52" s="12">
        <f>+Precios!BC50*Precios!BC$3</f>
        <v>0</v>
      </c>
      <c r="BE52" s="12">
        <f>+Precios!BD50*Precios!BD$3</f>
        <v>0</v>
      </c>
      <c r="BF52" s="12">
        <f>+Precios!BE50*Precios!BE$3</f>
        <v>0</v>
      </c>
      <c r="BG52" s="12">
        <f>+Precios!BF50*Precios!BF$3</f>
        <v>0</v>
      </c>
      <c r="BH52" s="12">
        <f>+Precios!BG50*Precios!BG$3</f>
        <v>0</v>
      </c>
      <c r="BI52" s="12">
        <f>+Precios!BH50*Precios!BH$3</f>
        <v>0</v>
      </c>
      <c r="BJ52" s="12">
        <f>+Precios!BI50*Precios!BI$3</f>
        <v>0</v>
      </c>
      <c r="BK52" s="12">
        <f>+Precios!BJ50*Precios!BJ$3</f>
        <v>0</v>
      </c>
      <c r="BL52" s="12">
        <f>+Precios!BK50*Precios!BK$3</f>
        <v>0</v>
      </c>
      <c r="BM52" s="12">
        <f>+Precios!BL50*Precios!BL$3</f>
        <v>0</v>
      </c>
    </row>
    <row r="53" spans="1:65" ht="15" thickBot="1">
      <c r="A53" s="5">
        <f t="shared" si="96"/>
        <v>0</v>
      </c>
      <c r="B53" s="15">
        <f>+Precios!A51</f>
        <v>46043</v>
      </c>
      <c r="C53" s="12">
        <f>+Precios!B51*Precios!B$3</f>
        <v>0</v>
      </c>
      <c r="D53" s="12">
        <f>+Precios!C51*Precios!C$3</f>
        <v>0</v>
      </c>
      <c r="E53" s="12">
        <f>+Precios!D51*Precios!D$3</f>
        <v>0</v>
      </c>
      <c r="F53" s="12">
        <f>+Precios!E51*Precios!E$3</f>
        <v>0</v>
      </c>
      <c r="G53" s="12">
        <f>+Precios!F51*Precios!F$3</f>
        <v>0</v>
      </c>
      <c r="H53" s="12">
        <f>+Precios!G51*Precios!G$3</f>
        <v>0</v>
      </c>
      <c r="I53" s="12">
        <f>+Precios!H51*Precios!H$3</f>
        <v>0</v>
      </c>
      <c r="J53" s="12">
        <f>+Precios!I51*Precios!I$3</f>
        <v>0</v>
      </c>
      <c r="K53" s="12">
        <f>+Precios!J51*Precios!J$3</f>
        <v>0</v>
      </c>
      <c r="L53" s="12">
        <f>+Precios!K51*Precios!K$3</f>
        <v>0</v>
      </c>
      <c r="M53" s="12">
        <f>+Precios!L51*Precios!L$3</f>
        <v>0</v>
      </c>
      <c r="N53" s="12">
        <f>+Precios!M51*Precios!M$3</f>
        <v>0</v>
      </c>
      <c r="O53" s="12">
        <f>+Precios!N51*Precios!N$3</f>
        <v>0</v>
      </c>
      <c r="P53" s="12">
        <f>+Precios!O51*Precios!O$3</f>
        <v>0</v>
      </c>
      <c r="Q53" s="12">
        <f>+Precios!P51*Precios!P$3</f>
        <v>0</v>
      </c>
      <c r="R53" s="12">
        <f>+Precios!Q51*Precios!Q$3</f>
        <v>0</v>
      </c>
      <c r="S53" s="12">
        <f>+Precios!R51*Precios!R$3</f>
        <v>0</v>
      </c>
      <c r="T53" s="12"/>
      <c r="U53" s="12"/>
      <c r="V53" s="12">
        <f t="shared" ref="V53:X53" si="128">+V52</f>
        <v>0</v>
      </c>
      <c r="W53" s="12">
        <f t="shared" si="128"/>
        <v>0</v>
      </c>
      <c r="X53" s="12">
        <f t="shared" si="128"/>
        <v>0</v>
      </c>
      <c r="Y53" s="12">
        <f>+Precios!X51*Precios!X$3</f>
        <v>0</v>
      </c>
      <c r="Z53" s="12">
        <f t="shared" ref="Z53:Z55" si="129">+Z52</f>
        <v>0</v>
      </c>
      <c r="AA53" s="12">
        <f t="shared" si="123"/>
        <v>0</v>
      </c>
      <c r="AB53" s="12">
        <f t="shared" si="123"/>
        <v>0</v>
      </c>
      <c r="AC53" s="12">
        <f t="shared" si="123"/>
        <v>0</v>
      </c>
      <c r="AD53" s="12">
        <f t="shared" si="123"/>
        <v>0</v>
      </c>
      <c r="AE53" s="12">
        <f t="shared" si="123"/>
        <v>0</v>
      </c>
      <c r="AF53" s="12">
        <f t="shared" si="123"/>
        <v>0</v>
      </c>
      <c r="AG53" s="12">
        <f t="shared" si="123"/>
        <v>0</v>
      </c>
      <c r="AH53" s="12">
        <f t="shared" si="123"/>
        <v>0</v>
      </c>
      <c r="AI53" s="12">
        <f t="shared" si="123"/>
        <v>0</v>
      </c>
      <c r="AJ53" s="12">
        <f t="shared" si="123"/>
        <v>0</v>
      </c>
      <c r="AK53" s="12">
        <f t="shared" si="53"/>
        <v>0</v>
      </c>
      <c r="AL53" s="12">
        <f>+Precios!AK51*Precios!AK$3</f>
        <v>0</v>
      </c>
      <c r="AM53" s="12">
        <f>+Precios!AL51*Precios!AL$3</f>
        <v>0</v>
      </c>
      <c r="AN53" s="12"/>
      <c r="AO53" s="12"/>
      <c r="AP53" s="12">
        <f>+Precios!AO51*Precios!AO$3</f>
        <v>0</v>
      </c>
      <c r="AQ53" s="12">
        <f>+Precios!AP51*Precios!AP$3</f>
        <v>0</v>
      </c>
      <c r="AR53" s="12">
        <f>+Precios!AQ51*Precios!AQ$3</f>
        <v>0</v>
      </c>
      <c r="AS53" s="12">
        <f>+Precios!AR51*Precios!AR$3</f>
        <v>0</v>
      </c>
      <c r="AT53" s="12">
        <f>+Precios!AS51*Precios!AS$3</f>
        <v>0</v>
      </c>
      <c r="AU53" s="12">
        <f>+Precios!AT51*Precios!AT$3</f>
        <v>0</v>
      </c>
      <c r="AV53" s="12"/>
      <c r="AW53" s="12">
        <f>+Precios!AV51*Precios!AV$3</f>
        <v>0</v>
      </c>
      <c r="AX53" s="12">
        <f>+Precios!AW51*Precios!AW$3</f>
        <v>0</v>
      </c>
      <c r="AY53" s="12">
        <f>+Precios!AX51*Precios!AX$3</f>
        <v>0</v>
      </c>
      <c r="AZ53" s="12">
        <f>+Precios!AY51*Precios!AY$3</f>
        <v>0</v>
      </c>
      <c r="BA53" s="12">
        <f>+Precios!AZ51*Precios!AZ$3</f>
        <v>0</v>
      </c>
      <c r="BB53" s="12">
        <f>+Precios!BA51*Precios!BA$3</f>
        <v>0</v>
      </c>
      <c r="BC53" s="12">
        <f>+Precios!BB51*Precios!BB$3</f>
        <v>0</v>
      </c>
      <c r="BD53" s="12">
        <f>+Precios!BC51*Precios!BC$3</f>
        <v>0</v>
      </c>
      <c r="BE53" s="12">
        <f>+Precios!BD51*Precios!BD$3</f>
        <v>0</v>
      </c>
      <c r="BF53" s="12">
        <f>+Precios!BE51*Precios!BE$3</f>
        <v>0</v>
      </c>
      <c r="BG53" s="12">
        <f>+Precios!BF51*Precios!BF$3</f>
        <v>0</v>
      </c>
      <c r="BH53" s="12">
        <f>+Precios!BG51*Precios!BG$3</f>
        <v>0</v>
      </c>
      <c r="BI53" s="12">
        <f>+Precios!BH51*Precios!BH$3</f>
        <v>0</v>
      </c>
      <c r="BJ53" s="12">
        <f>+Precios!BI51*Precios!BI$3</f>
        <v>0</v>
      </c>
      <c r="BK53" s="12">
        <f>+Precios!BJ51*Precios!BJ$3</f>
        <v>0</v>
      </c>
      <c r="BL53" s="12">
        <f>+Precios!BK51*Precios!BK$3</f>
        <v>0</v>
      </c>
      <c r="BM53" s="12">
        <f>+Precios!BL51*Precios!BL$3</f>
        <v>0</v>
      </c>
    </row>
    <row r="54" spans="1:65" ht="15" thickBot="1">
      <c r="A54" s="5">
        <f t="shared" si="96"/>
        <v>0</v>
      </c>
      <c r="B54" s="15">
        <f>+Precios!A52</f>
        <v>46044</v>
      </c>
      <c r="C54" s="12">
        <f>+Precios!B52*Precios!B$3</f>
        <v>0</v>
      </c>
      <c r="D54" s="12">
        <f>+Precios!C52*Precios!C$3</f>
        <v>0</v>
      </c>
      <c r="E54" s="12">
        <f>+Precios!D52*Precios!D$3</f>
        <v>0</v>
      </c>
      <c r="F54" s="12">
        <f>+Precios!E52*Precios!E$3</f>
        <v>0</v>
      </c>
      <c r="G54" s="12">
        <f>+Precios!F52*Precios!F$3</f>
        <v>0</v>
      </c>
      <c r="H54" s="12">
        <f>+Precios!G52*Precios!G$3</f>
        <v>0</v>
      </c>
      <c r="I54" s="12">
        <f>+Precios!H52*Precios!H$3</f>
        <v>0</v>
      </c>
      <c r="J54" s="12">
        <f>+Precios!I52*Precios!I$3</f>
        <v>0</v>
      </c>
      <c r="K54" s="12">
        <f>+Precios!J52*Precios!J$3</f>
        <v>0</v>
      </c>
      <c r="L54" s="12">
        <f>+Precios!K52*Precios!K$3</f>
        <v>0</v>
      </c>
      <c r="M54" s="12">
        <f>+Precios!L52*Precios!L$3</f>
        <v>0</v>
      </c>
      <c r="N54" s="12">
        <f>+Precios!M52*Precios!M$3</f>
        <v>0</v>
      </c>
      <c r="O54" s="12">
        <f>+Precios!N52*Precios!N$3</f>
        <v>0</v>
      </c>
      <c r="P54" s="12">
        <f>+Precios!O52*Precios!O$3</f>
        <v>0</v>
      </c>
      <c r="Q54" s="12">
        <f>+Precios!P52*Precios!P$3</f>
        <v>0</v>
      </c>
      <c r="R54" s="12">
        <f>+Precios!Q52*Precios!Q$3</f>
        <v>0</v>
      </c>
      <c r="S54" s="12">
        <f>+Precios!R52*Precios!R$3</f>
        <v>0</v>
      </c>
      <c r="T54" s="12"/>
      <c r="U54" s="12"/>
      <c r="V54" s="12"/>
      <c r="W54" s="12">
        <f t="shared" ref="W54:X54" si="130">+W53</f>
        <v>0</v>
      </c>
      <c r="X54" s="12">
        <f t="shared" si="130"/>
        <v>0</v>
      </c>
      <c r="Y54" s="12">
        <f>+Precios!X52*Precios!X$3</f>
        <v>0</v>
      </c>
      <c r="Z54" s="12">
        <f t="shared" si="129"/>
        <v>0</v>
      </c>
      <c r="AA54" s="12">
        <f t="shared" si="123"/>
        <v>0</v>
      </c>
      <c r="AB54" s="12">
        <f t="shared" si="123"/>
        <v>0</v>
      </c>
      <c r="AC54" s="12">
        <f t="shared" si="123"/>
        <v>0</v>
      </c>
      <c r="AD54" s="12">
        <f t="shared" si="123"/>
        <v>0</v>
      </c>
      <c r="AE54" s="12">
        <f t="shared" si="123"/>
        <v>0</v>
      </c>
      <c r="AF54" s="12">
        <f t="shared" si="123"/>
        <v>0</v>
      </c>
      <c r="AG54" s="12">
        <f t="shared" si="123"/>
        <v>0</v>
      </c>
      <c r="AH54" s="12">
        <f t="shared" si="123"/>
        <v>0</v>
      </c>
      <c r="AI54" s="12">
        <f t="shared" si="123"/>
        <v>0</v>
      </c>
      <c r="AJ54" s="12">
        <f t="shared" si="123"/>
        <v>0</v>
      </c>
      <c r="AK54" s="12">
        <f t="shared" si="53"/>
        <v>0</v>
      </c>
      <c r="AL54" s="12">
        <f t="shared" si="53"/>
        <v>0</v>
      </c>
      <c r="AM54" s="12">
        <f t="shared" si="53"/>
        <v>0</v>
      </c>
      <c r="AN54" s="12"/>
      <c r="AO54" s="12"/>
      <c r="AP54" s="12">
        <f>+Precios!AO52*Precios!AO$3</f>
        <v>0</v>
      </c>
      <c r="AQ54" s="12">
        <f>+Precios!AP52*Precios!AP$3</f>
        <v>0</v>
      </c>
      <c r="AR54" s="12">
        <f>+Precios!AQ52*Precios!AQ$3</f>
        <v>0</v>
      </c>
      <c r="AS54" s="12">
        <f>+Precios!AR52*Precios!AR$3</f>
        <v>0</v>
      </c>
      <c r="AT54" s="12">
        <f>+Precios!AS52*Precios!AS$3</f>
        <v>0</v>
      </c>
      <c r="AU54" s="12">
        <f>+Precios!AT52*Precios!AT$3</f>
        <v>0</v>
      </c>
      <c r="AV54" s="12"/>
      <c r="AW54" s="12">
        <f>+Precios!AV52*Precios!AV$3</f>
        <v>0</v>
      </c>
      <c r="AX54" s="12">
        <f>+Precios!AW52*Precios!AW$3</f>
        <v>0</v>
      </c>
      <c r="AY54" s="12">
        <f>+Precios!AX52*Precios!AX$3</f>
        <v>0</v>
      </c>
      <c r="AZ54" s="12">
        <f>+Precios!AY52*Precios!AY$3</f>
        <v>0</v>
      </c>
      <c r="BA54" s="12">
        <f>+Precios!AZ52*Precios!AZ$3</f>
        <v>0</v>
      </c>
      <c r="BB54" s="12">
        <f>+Precios!BA52*Precios!BA$3</f>
        <v>0</v>
      </c>
      <c r="BC54" s="12">
        <f>+Precios!BB52*Precios!BB$3</f>
        <v>0</v>
      </c>
      <c r="BD54" s="12">
        <f>+Precios!BC52*Precios!BC$3</f>
        <v>0</v>
      </c>
      <c r="BE54" s="12">
        <f>+Precios!BD52*Precios!BD$3</f>
        <v>0</v>
      </c>
      <c r="BF54" s="12">
        <f>+Precios!BE52*Precios!BE$3</f>
        <v>0</v>
      </c>
      <c r="BG54" s="12">
        <f>+Precios!BF52*Precios!BF$3</f>
        <v>0</v>
      </c>
      <c r="BH54" s="12">
        <f>+Precios!BG52*Precios!BG$3</f>
        <v>0</v>
      </c>
      <c r="BI54" s="12">
        <f>+Precios!BH52*Precios!BH$3</f>
        <v>0</v>
      </c>
      <c r="BJ54" s="12">
        <f>+Precios!BI52*Precios!BI$3</f>
        <v>0</v>
      </c>
      <c r="BK54" s="12">
        <f>+Precios!BJ52*Precios!BJ$3</f>
        <v>0</v>
      </c>
      <c r="BL54" s="12">
        <f>+Precios!BK52*Precios!BK$3</f>
        <v>0</v>
      </c>
      <c r="BM54" s="12">
        <f>+Precios!BL52*Precios!BL$3</f>
        <v>0</v>
      </c>
    </row>
    <row r="55" spans="1:65" ht="15" thickBot="1">
      <c r="A55" s="5">
        <f t="shared" si="96"/>
        <v>0</v>
      </c>
      <c r="B55" s="15">
        <f>+Precios!A53</f>
        <v>46045</v>
      </c>
      <c r="C55" s="12">
        <f>+Precios!B53*Precios!B$3</f>
        <v>0</v>
      </c>
      <c r="D55" s="12">
        <f>+Precios!C53*Precios!C$3</f>
        <v>0</v>
      </c>
      <c r="E55" s="12">
        <f>+Precios!D53*Precios!D$3</f>
        <v>0</v>
      </c>
      <c r="F55" s="12">
        <f>+Precios!E53*Precios!E$3</f>
        <v>0</v>
      </c>
      <c r="G55" s="12">
        <f>+Precios!F53*Precios!F$3</f>
        <v>0</v>
      </c>
      <c r="H55" s="12">
        <f>+Precios!G53*Precios!G$3</f>
        <v>0</v>
      </c>
      <c r="I55" s="12">
        <f>+Precios!H53*Precios!H$3</f>
        <v>0</v>
      </c>
      <c r="J55" s="12">
        <f>+Precios!I53*Precios!I$3</f>
        <v>0</v>
      </c>
      <c r="K55" s="12">
        <f>+Precios!J53*Precios!J$3</f>
        <v>0</v>
      </c>
      <c r="L55" s="12">
        <f>+Precios!K53*Precios!K$3</f>
        <v>0</v>
      </c>
      <c r="M55" s="12">
        <f>+Precios!L53*Precios!L$3</f>
        <v>0</v>
      </c>
      <c r="N55" s="12">
        <f>+Precios!M53*Precios!M$3</f>
        <v>0</v>
      </c>
      <c r="O55" s="12">
        <f>+Precios!N53*Precios!N$3</f>
        <v>0</v>
      </c>
      <c r="P55" s="12">
        <f>+Precios!O53*Precios!O$3</f>
        <v>0</v>
      </c>
      <c r="Q55" s="12">
        <f>+Precios!P53*Precios!P$3</f>
        <v>0</v>
      </c>
      <c r="R55" s="12">
        <f>+Precios!Q53*Precios!Q$3</f>
        <v>0</v>
      </c>
      <c r="S55" s="12">
        <f>+Precios!R53*Precios!R$3</f>
        <v>0</v>
      </c>
      <c r="T55" s="12"/>
      <c r="U55" s="12"/>
      <c r="V55" s="12"/>
      <c r="W55" s="12">
        <f t="shared" ref="W55:X55" si="131">+W54</f>
        <v>0</v>
      </c>
      <c r="X55" s="12">
        <f t="shared" si="131"/>
        <v>0</v>
      </c>
      <c r="Y55" s="12">
        <f>+Precios!X53*Precios!X$3</f>
        <v>0</v>
      </c>
      <c r="Z55" s="12">
        <f t="shared" si="129"/>
        <v>0</v>
      </c>
      <c r="AA55" s="12">
        <f t="shared" si="123"/>
        <v>0</v>
      </c>
      <c r="AB55" s="12">
        <f t="shared" si="123"/>
        <v>0</v>
      </c>
      <c r="AC55" s="12">
        <f t="shared" si="123"/>
        <v>0</v>
      </c>
      <c r="AD55" s="12">
        <f t="shared" si="123"/>
        <v>0</v>
      </c>
      <c r="AE55" s="12">
        <f t="shared" si="123"/>
        <v>0</v>
      </c>
      <c r="AF55" s="12">
        <f t="shared" si="123"/>
        <v>0</v>
      </c>
      <c r="AG55" s="12">
        <f t="shared" si="123"/>
        <v>0</v>
      </c>
      <c r="AH55" s="12">
        <f t="shared" si="123"/>
        <v>0</v>
      </c>
      <c r="AI55" s="12">
        <f t="shared" si="123"/>
        <v>0</v>
      </c>
      <c r="AJ55" s="12">
        <f t="shared" si="123"/>
        <v>0</v>
      </c>
      <c r="AK55" s="12">
        <f t="shared" si="53"/>
        <v>0</v>
      </c>
      <c r="AL55" s="12">
        <f t="shared" si="53"/>
        <v>0</v>
      </c>
      <c r="AM55" s="12">
        <f t="shared" si="53"/>
        <v>0</v>
      </c>
      <c r="AN55" s="12"/>
      <c r="AO55" s="12"/>
      <c r="AP55" s="12">
        <f>+Precios!AO53*Precios!AO$3</f>
        <v>0</v>
      </c>
      <c r="AQ55" s="12">
        <f>+Precios!AP53*Precios!AP$3</f>
        <v>0</v>
      </c>
      <c r="AR55" s="12">
        <f>+Precios!AQ53*Precios!AQ$3</f>
        <v>0</v>
      </c>
      <c r="AS55" s="12">
        <f>+Precios!AR53*Precios!AR$3</f>
        <v>0</v>
      </c>
      <c r="AT55" s="12">
        <f>+Precios!AS53*Precios!AS$3</f>
        <v>0</v>
      </c>
      <c r="AU55" s="12">
        <f>+Precios!AT53*Precios!AT$3</f>
        <v>0</v>
      </c>
      <c r="AV55" s="12"/>
      <c r="AW55" s="12">
        <f>+Precios!AV53*Precios!AV$3</f>
        <v>0</v>
      </c>
      <c r="AX55" s="12">
        <f>+Precios!AW53*Precios!AW$3</f>
        <v>0</v>
      </c>
      <c r="AY55" s="12">
        <f>+Precios!AX53*Precios!AX$3</f>
        <v>0</v>
      </c>
      <c r="AZ55" s="12">
        <f>+Precios!AY53*Precios!AY$3</f>
        <v>0</v>
      </c>
      <c r="BA55" s="12">
        <f>+Precios!AZ53*Precios!AZ$3</f>
        <v>0</v>
      </c>
      <c r="BB55" s="12">
        <f>+Precios!BA53*Precios!BA$3</f>
        <v>0</v>
      </c>
      <c r="BC55" s="12">
        <f>+Precios!BB53*Precios!BB$3</f>
        <v>0</v>
      </c>
      <c r="BD55" s="12">
        <f>+Precios!BC53*Precios!BC$3</f>
        <v>0</v>
      </c>
      <c r="BE55" s="12">
        <f>+Precios!BD53*Precios!BD$3</f>
        <v>0</v>
      </c>
      <c r="BF55" s="12">
        <f>+Precios!BE53*Precios!BE$3</f>
        <v>0</v>
      </c>
      <c r="BG55" s="12">
        <f>+Precios!BF53*Precios!BF$3</f>
        <v>0</v>
      </c>
      <c r="BH55" s="12">
        <f>+Precios!BG53*Precios!BG$3</f>
        <v>0</v>
      </c>
      <c r="BI55" s="12">
        <f>+Precios!BH53*Precios!BH$3</f>
        <v>0</v>
      </c>
      <c r="BJ55" s="12">
        <f>+Precios!BI53*Precios!BI$3</f>
        <v>0</v>
      </c>
      <c r="BK55" s="12">
        <f>+Precios!BJ53*Precios!BJ$3</f>
        <v>0</v>
      </c>
      <c r="BL55" s="12">
        <f>+Precios!BK53*Precios!BK$3</f>
        <v>0</v>
      </c>
      <c r="BM55" s="12">
        <f>+Precios!BL53*Precios!BL$3</f>
        <v>0</v>
      </c>
    </row>
    <row r="56" spans="1:65" ht="15" thickBot="1">
      <c r="A56" s="5">
        <f t="shared" si="96"/>
        <v>0</v>
      </c>
      <c r="B56" s="15">
        <f>+Precios!A54</f>
        <v>46048</v>
      </c>
      <c r="C56" s="12">
        <f>+Precios!B54*Precios!B$3</f>
        <v>0</v>
      </c>
      <c r="D56" s="12">
        <f>+Precios!C54*Precios!C$3</f>
        <v>0</v>
      </c>
      <c r="E56" s="12">
        <f>+Precios!D54*Precios!D$3</f>
        <v>0</v>
      </c>
      <c r="F56" s="12">
        <f>+Precios!E54*Precios!E$3</f>
        <v>0</v>
      </c>
      <c r="G56" s="12">
        <f>+Precios!F54*Precios!F$3</f>
        <v>0</v>
      </c>
      <c r="H56" s="12">
        <f>+Precios!G54*Precios!G$3</f>
        <v>0</v>
      </c>
      <c r="I56" s="12">
        <f>+Precios!H54*Precios!H$3</f>
        <v>0</v>
      </c>
      <c r="J56" s="12">
        <f>+Precios!I54*Precios!I$3</f>
        <v>0</v>
      </c>
      <c r="K56" s="12">
        <f>+Precios!J54*Precios!J$3</f>
        <v>0</v>
      </c>
      <c r="L56" s="12">
        <f>+Precios!K54*Precios!K$3</f>
        <v>0</v>
      </c>
      <c r="M56" s="12">
        <f>+Precios!L54*Precios!L$3</f>
        <v>0</v>
      </c>
      <c r="N56" s="12">
        <f>+Precios!M54*Precios!M$3</f>
        <v>0</v>
      </c>
      <c r="O56" s="12">
        <f>+Precios!N54*Precios!N$3</f>
        <v>0</v>
      </c>
      <c r="P56" s="12">
        <f>+Precios!O54*Precios!O$3</f>
        <v>0</v>
      </c>
      <c r="Q56" s="12">
        <f>+Precios!P54*Precios!P$3</f>
        <v>0</v>
      </c>
      <c r="R56" s="12">
        <f>+Precios!Q54*Precios!Q$3</f>
        <v>0</v>
      </c>
      <c r="S56" s="12">
        <f>+Precios!R54*Precios!R$3</f>
        <v>0</v>
      </c>
      <c r="T56" s="12"/>
      <c r="U56" s="12"/>
      <c r="V56" s="12"/>
      <c r="W56" s="12">
        <f t="shared" ref="W56:X56" si="132">+W55</f>
        <v>0</v>
      </c>
      <c r="X56" s="12">
        <f t="shared" si="132"/>
        <v>0</v>
      </c>
      <c r="Y56" s="12">
        <f>+Precios!X54*Precios!X$3</f>
        <v>0</v>
      </c>
      <c r="Z56" s="12">
        <f t="shared" ref="Z56" si="133">+Z55</f>
        <v>0</v>
      </c>
      <c r="AA56" s="12">
        <f t="shared" si="123"/>
        <v>0</v>
      </c>
      <c r="AB56" s="12">
        <f t="shared" si="123"/>
        <v>0</v>
      </c>
      <c r="AC56" s="12">
        <f t="shared" si="123"/>
        <v>0</v>
      </c>
      <c r="AD56" s="12">
        <f t="shared" si="123"/>
        <v>0</v>
      </c>
      <c r="AE56" s="12">
        <f t="shared" si="123"/>
        <v>0</v>
      </c>
      <c r="AF56" s="12">
        <f t="shared" si="123"/>
        <v>0</v>
      </c>
      <c r="AG56" s="12">
        <f t="shared" si="123"/>
        <v>0</v>
      </c>
      <c r="AH56" s="12">
        <f t="shared" si="123"/>
        <v>0</v>
      </c>
      <c r="AI56" s="12">
        <f t="shared" si="123"/>
        <v>0</v>
      </c>
      <c r="AJ56" s="12">
        <f t="shared" si="123"/>
        <v>0</v>
      </c>
      <c r="AK56" s="12">
        <f t="shared" si="123"/>
        <v>0</v>
      </c>
      <c r="AL56" s="12">
        <f t="shared" si="123"/>
        <v>0</v>
      </c>
      <c r="AM56" s="12">
        <f t="shared" si="123"/>
        <v>0</v>
      </c>
      <c r="AN56" s="12"/>
      <c r="AO56" s="12"/>
      <c r="AP56" s="12">
        <f>+Precios!AO54*Precios!AO$3</f>
        <v>0</v>
      </c>
      <c r="AQ56" s="12">
        <f>+Precios!AP54*Precios!AP$3</f>
        <v>0</v>
      </c>
      <c r="AR56" s="12">
        <f>+Precios!AQ54*Precios!AQ$3</f>
        <v>0</v>
      </c>
      <c r="AS56" s="12">
        <f>+Precios!AR54*Precios!AR$3</f>
        <v>0</v>
      </c>
      <c r="AT56" s="12">
        <f>+Precios!AS54*Precios!AS$3</f>
        <v>0</v>
      </c>
      <c r="AU56" s="12">
        <f>+Precios!AT54*Precios!AT$3</f>
        <v>0</v>
      </c>
      <c r="AV56" s="12"/>
      <c r="AW56" s="12">
        <f>+Precios!AV54*Precios!AV$3</f>
        <v>0</v>
      </c>
      <c r="AX56" s="12">
        <f>+Precios!AW54*Precios!AW$3</f>
        <v>0</v>
      </c>
      <c r="AY56" s="12">
        <f>+Precios!AX54*Precios!AX$3</f>
        <v>0</v>
      </c>
      <c r="AZ56" s="12">
        <f>+Precios!AY54*Precios!AY$3</f>
        <v>0</v>
      </c>
      <c r="BA56" s="12">
        <f>+Precios!AZ54*Precios!AZ$3</f>
        <v>0</v>
      </c>
      <c r="BB56" s="12">
        <f>+Precios!BA54*Precios!BA$3</f>
        <v>0</v>
      </c>
      <c r="BC56" s="12">
        <f>+Precios!BB54*Precios!BB$3</f>
        <v>0</v>
      </c>
      <c r="BD56" s="12">
        <f>+Precios!BC54*Precios!BC$3</f>
        <v>0</v>
      </c>
      <c r="BE56" s="12">
        <f>+Precios!BD54*Precios!BD$3</f>
        <v>0</v>
      </c>
      <c r="BF56" s="12">
        <f>+Precios!BE54*Precios!BE$3</f>
        <v>0</v>
      </c>
      <c r="BG56" s="12">
        <f>+Precios!BF54*Precios!BF$3</f>
        <v>0</v>
      </c>
      <c r="BH56" s="12">
        <f>+Precios!BG54*Precios!BG$3</f>
        <v>0</v>
      </c>
      <c r="BI56" s="12">
        <f>+Precios!BH54*Precios!BH$3</f>
        <v>0</v>
      </c>
      <c r="BJ56" s="12">
        <f>+Precios!BI54*Precios!BI$3</f>
        <v>0</v>
      </c>
      <c r="BK56" s="12">
        <f>+Precios!BJ54*Precios!BJ$3</f>
        <v>0</v>
      </c>
      <c r="BL56" s="12">
        <f>+Precios!BK54*Precios!BK$3</f>
        <v>0</v>
      </c>
      <c r="BM56" s="12">
        <f>+Precios!BL54*Precios!BL$3</f>
        <v>0</v>
      </c>
    </row>
    <row r="57" spans="1:65" ht="15" thickBot="1">
      <c r="A57" s="5">
        <f t="shared" si="96"/>
        <v>0</v>
      </c>
      <c r="B57" s="15">
        <f>+Precios!A55</f>
        <v>46049</v>
      </c>
      <c r="C57" s="12">
        <f>+Precios!B55*Precios!B$3</f>
        <v>0</v>
      </c>
      <c r="D57" s="12">
        <f>+Precios!C55*Precios!C$3</f>
        <v>0</v>
      </c>
      <c r="E57" s="12">
        <f>+Precios!D55*Precios!D$3</f>
        <v>0</v>
      </c>
      <c r="F57" s="12">
        <f>+Precios!E55*Precios!E$3</f>
        <v>0</v>
      </c>
      <c r="G57" s="12">
        <f>+Precios!F55*Precios!F$3</f>
        <v>0</v>
      </c>
      <c r="H57" s="12">
        <f>+Precios!G55*Precios!G$3</f>
        <v>0</v>
      </c>
      <c r="I57" s="12">
        <f>+Precios!H55*Precios!H$3</f>
        <v>0</v>
      </c>
      <c r="J57" s="12">
        <f>+Precios!I55*Precios!I$3</f>
        <v>0</v>
      </c>
      <c r="K57" s="12">
        <f>+Precios!J55*Precios!J$3</f>
        <v>0</v>
      </c>
      <c r="L57" s="12">
        <f>+Precios!K55*Precios!K$3</f>
        <v>0</v>
      </c>
      <c r="M57" s="12">
        <f>+Precios!L55*Precios!L$3</f>
        <v>0</v>
      </c>
      <c r="N57" s="12">
        <f>+Precios!M55*Precios!M$3</f>
        <v>0</v>
      </c>
      <c r="O57" s="12">
        <f>+Precios!N55*Precios!N$3</f>
        <v>0</v>
      </c>
      <c r="P57" s="12">
        <f>+Precios!O55*Precios!O$3</f>
        <v>0</v>
      </c>
      <c r="Q57" s="12">
        <f>+Precios!P55*Precios!P$3</f>
        <v>0</v>
      </c>
      <c r="R57" s="12">
        <f>+Precios!Q55*Precios!Q$3</f>
        <v>0</v>
      </c>
      <c r="S57" s="12">
        <f>+Precios!R55*Precios!R$3</f>
        <v>0</v>
      </c>
      <c r="T57" s="12"/>
      <c r="U57" s="12"/>
      <c r="V57" s="12"/>
      <c r="W57" s="12">
        <f t="shared" ref="W57:X57" si="134">+W56</f>
        <v>0</v>
      </c>
      <c r="X57" s="12">
        <f t="shared" si="134"/>
        <v>0</v>
      </c>
      <c r="Y57" s="12">
        <f>+Precios!X55*Precios!X$3</f>
        <v>0</v>
      </c>
      <c r="Z57" s="12">
        <f t="shared" ref="Z57" si="135">+Z56</f>
        <v>0</v>
      </c>
      <c r="AA57" s="12">
        <f t="shared" si="123"/>
        <v>0</v>
      </c>
      <c r="AB57" s="12">
        <f t="shared" si="123"/>
        <v>0</v>
      </c>
      <c r="AC57" s="12">
        <f t="shared" si="123"/>
        <v>0</v>
      </c>
      <c r="AD57" s="12">
        <f t="shared" si="123"/>
        <v>0</v>
      </c>
      <c r="AE57" s="12">
        <f t="shared" si="123"/>
        <v>0</v>
      </c>
      <c r="AF57" s="12">
        <f t="shared" si="123"/>
        <v>0</v>
      </c>
      <c r="AG57" s="12">
        <f t="shared" si="123"/>
        <v>0</v>
      </c>
      <c r="AH57" s="12">
        <f t="shared" si="123"/>
        <v>0</v>
      </c>
      <c r="AI57" s="12">
        <f t="shared" si="123"/>
        <v>0</v>
      </c>
      <c r="AJ57" s="12">
        <f t="shared" si="123"/>
        <v>0</v>
      </c>
      <c r="AK57" s="12">
        <f t="shared" si="123"/>
        <v>0</v>
      </c>
      <c r="AL57" s="12">
        <f t="shared" si="123"/>
        <v>0</v>
      </c>
      <c r="AM57" s="12">
        <f t="shared" si="123"/>
        <v>0</v>
      </c>
      <c r="AN57" s="12"/>
      <c r="AO57" s="12"/>
      <c r="AP57" s="12">
        <f>+Precios!AO55*Precios!AO$3</f>
        <v>0</v>
      </c>
      <c r="AQ57" s="12">
        <f>+Precios!AP55*Precios!AP$3</f>
        <v>0</v>
      </c>
      <c r="AR57" s="12">
        <f>+Precios!AQ55*Precios!AQ$3</f>
        <v>0</v>
      </c>
      <c r="AS57" s="12">
        <f>+Precios!AR55*Precios!AR$3</f>
        <v>0</v>
      </c>
      <c r="AT57" s="12">
        <f>+Precios!AS55*Precios!AS$3</f>
        <v>0</v>
      </c>
      <c r="AU57" s="12">
        <f>+Precios!AT55*Precios!AT$3</f>
        <v>0</v>
      </c>
      <c r="AV57" s="12"/>
      <c r="AW57" s="12">
        <f>+Precios!AV55*Precios!AV$3</f>
        <v>0</v>
      </c>
      <c r="AX57" s="12">
        <f>+Precios!AW55*Precios!AW$3</f>
        <v>0</v>
      </c>
      <c r="AY57" s="12">
        <f>+Precios!AX55*Precios!AX$3</f>
        <v>0</v>
      </c>
      <c r="AZ57" s="12">
        <f>+Precios!AY55*Precios!AY$3</f>
        <v>0</v>
      </c>
      <c r="BA57" s="12">
        <f>+Precios!AZ55*Precios!AZ$3</f>
        <v>0</v>
      </c>
      <c r="BB57" s="12">
        <f>+Precios!BA55*Precios!BA$3</f>
        <v>0</v>
      </c>
      <c r="BC57" s="12">
        <f>+Precios!BB55*Precios!BB$3</f>
        <v>0</v>
      </c>
      <c r="BD57" s="12">
        <f>+Precios!BC55*Precios!BC$3</f>
        <v>0</v>
      </c>
      <c r="BE57" s="12">
        <f>+Precios!BD55*Precios!BD$3</f>
        <v>0</v>
      </c>
      <c r="BF57" s="12">
        <f>+Precios!BE55*Precios!BE$3</f>
        <v>0</v>
      </c>
      <c r="BG57" s="12">
        <f>+Precios!BF55*Precios!BF$3</f>
        <v>0</v>
      </c>
      <c r="BH57" s="12">
        <f>+Precios!BG55*Precios!BG$3</f>
        <v>0</v>
      </c>
      <c r="BI57" s="12">
        <f>+Precios!BH55*Precios!BH$3</f>
        <v>0</v>
      </c>
      <c r="BJ57" s="12">
        <f>+Precios!BI55*Precios!BI$3</f>
        <v>0</v>
      </c>
      <c r="BK57" s="12">
        <f>+Precios!BJ55*Precios!BJ$3</f>
        <v>0</v>
      </c>
      <c r="BL57" s="12">
        <f>+Precios!BK55*Precios!BK$3</f>
        <v>0</v>
      </c>
      <c r="BM57" s="12">
        <f>+Precios!BL55*Precios!BL$3</f>
        <v>0</v>
      </c>
    </row>
    <row r="58" spans="1:65" ht="15" thickBot="1">
      <c r="A58" s="5">
        <f t="shared" si="96"/>
        <v>0</v>
      </c>
      <c r="B58" s="15">
        <f>+Precios!A56</f>
        <v>46050</v>
      </c>
      <c r="C58" s="12">
        <f>+Precios!B56*Precios!B$3</f>
        <v>0</v>
      </c>
      <c r="D58" s="12">
        <f>+Precios!C56*Precios!C$3</f>
        <v>0</v>
      </c>
      <c r="E58" s="12">
        <f>+Precios!D56*Precios!D$3</f>
        <v>0</v>
      </c>
      <c r="F58" s="12">
        <f>+Precios!E56*Precios!E$3</f>
        <v>0</v>
      </c>
      <c r="G58" s="12">
        <f>+Precios!F56*Precios!F$3</f>
        <v>0</v>
      </c>
      <c r="H58" s="12">
        <f>+Precios!G56*Precios!G$3</f>
        <v>0</v>
      </c>
      <c r="I58" s="12">
        <f>+Precios!H56*Precios!H$3</f>
        <v>0</v>
      </c>
      <c r="J58" s="12">
        <f>+Precios!I56*Precios!I$3</f>
        <v>0</v>
      </c>
      <c r="K58" s="12">
        <f>+Precios!J56*Precios!J$3</f>
        <v>0</v>
      </c>
      <c r="L58" s="12">
        <f>+Precios!K56*Precios!K$3</f>
        <v>0</v>
      </c>
      <c r="M58" s="12">
        <f>+Precios!L56*Precios!L$3</f>
        <v>0</v>
      </c>
      <c r="N58" s="12">
        <f>+Precios!M56*Precios!M$3</f>
        <v>0</v>
      </c>
      <c r="O58" s="12">
        <f>+Precios!N56*Precios!N$3</f>
        <v>0</v>
      </c>
      <c r="P58" s="12">
        <f>+Precios!O56*Precios!O$3</f>
        <v>0</v>
      </c>
      <c r="Q58" s="12">
        <f>+Precios!P56*Precios!P$3</f>
        <v>0</v>
      </c>
      <c r="R58" s="12">
        <f>+Precios!Q56*Precios!Q$3</f>
        <v>0</v>
      </c>
      <c r="S58" s="12">
        <f>+Precios!R56*Precios!R$3</f>
        <v>0</v>
      </c>
      <c r="T58" s="12"/>
      <c r="U58" s="12"/>
      <c r="V58" s="12"/>
      <c r="W58" s="12"/>
      <c r="X58" s="12">
        <f t="shared" ref="X58" si="136">+X57</f>
        <v>0</v>
      </c>
      <c r="Y58" s="12">
        <f>+Precios!X56*Precios!X$3</f>
        <v>0</v>
      </c>
      <c r="Z58" s="12">
        <f t="shared" ref="Z58" si="137">+Z57</f>
        <v>0</v>
      </c>
      <c r="AA58" s="12">
        <f t="shared" si="123"/>
        <v>0</v>
      </c>
      <c r="AB58" s="12">
        <f t="shared" si="123"/>
        <v>0</v>
      </c>
      <c r="AC58" s="12">
        <f t="shared" si="123"/>
        <v>0</v>
      </c>
      <c r="AD58" s="12">
        <f t="shared" si="123"/>
        <v>0</v>
      </c>
      <c r="AE58" s="12">
        <f t="shared" si="123"/>
        <v>0</v>
      </c>
      <c r="AF58" s="12">
        <f t="shared" si="123"/>
        <v>0</v>
      </c>
      <c r="AG58" s="12">
        <f t="shared" si="123"/>
        <v>0</v>
      </c>
      <c r="AH58" s="12">
        <f t="shared" si="123"/>
        <v>0</v>
      </c>
      <c r="AI58" s="12">
        <f t="shared" si="123"/>
        <v>0</v>
      </c>
      <c r="AJ58" s="12">
        <f t="shared" si="123"/>
        <v>0</v>
      </c>
      <c r="AK58" s="12">
        <f t="shared" si="123"/>
        <v>0</v>
      </c>
      <c r="AL58" s="12">
        <f t="shared" si="123"/>
        <v>0</v>
      </c>
      <c r="AM58" s="12">
        <f t="shared" si="123"/>
        <v>0</v>
      </c>
      <c r="AN58" s="12">
        <f>+Precios!AM56*Precios!AM$3</f>
        <v>0</v>
      </c>
      <c r="AO58" s="12"/>
      <c r="AP58" s="12">
        <f>+Precios!AO56*Precios!AO$3</f>
        <v>0</v>
      </c>
      <c r="AQ58" s="12">
        <f>+Precios!AP56*Precios!AP$3</f>
        <v>0</v>
      </c>
      <c r="AR58" s="12">
        <f>+Precios!AQ56*Precios!AQ$3</f>
        <v>0</v>
      </c>
      <c r="AS58" s="12">
        <f>+Precios!AR56*Precios!AR$3</f>
        <v>0</v>
      </c>
      <c r="AT58" s="12">
        <f>+Precios!AS56*Precios!AS$3</f>
        <v>0</v>
      </c>
      <c r="AU58" s="12">
        <f>+Precios!AT56*Precios!AT$3</f>
        <v>0</v>
      </c>
      <c r="AV58" s="12"/>
      <c r="AW58" s="12">
        <f>+Precios!AV56*Precios!AV$3</f>
        <v>0</v>
      </c>
      <c r="AX58" s="12">
        <f>+Precios!AW56*Precios!AW$3</f>
        <v>0</v>
      </c>
      <c r="AY58" s="12">
        <f>+Precios!AX56*Precios!AX$3</f>
        <v>0</v>
      </c>
      <c r="AZ58" s="12">
        <f>+Precios!AY56*Precios!AY$3</f>
        <v>0</v>
      </c>
      <c r="BA58" s="12">
        <f>+Precios!AZ56*Precios!AZ$3</f>
        <v>0</v>
      </c>
      <c r="BB58" s="12">
        <f>+Precios!BA56*Precios!BA$3</f>
        <v>0</v>
      </c>
      <c r="BC58" s="12">
        <f>+Precios!BB56*Precios!BB$3</f>
        <v>0</v>
      </c>
      <c r="BD58" s="12">
        <f>+Precios!BC56*Precios!BC$3</f>
        <v>0</v>
      </c>
      <c r="BE58" s="12">
        <f>+Precios!BD56*Precios!BD$3</f>
        <v>0</v>
      </c>
      <c r="BF58" s="12">
        <f>+Precios!BE56*Precios!BE$3</f>
        <v>0</v>
      </c>
      <c r="BG58" s="12">
        <f>+Precios!BF56*Precios!BF$3</f>
        <v>0</v>
      </c>
      <c r="BH58" s="12">
        <f>+Precios!BG56*Precios!BG$3</f>
        <v>0</v>
      </c>
      <c r="BI58" s="12">
        <f>+Precios!BH56*Precios!BH$3</f>
        <v>0</v>
      </c>
      <c r="BJ58" s="12">
        <f>+Precios!BI56*Precios!BI$3</f>
        <v>0</v>
      </c>
      <c r="BK58" s="12">
        <f>+Precios!BJ56*Precios!BJ$3</f>
        <v>0</v>
      </c>
      <c r="BL58" s="12">
        <f>+Precios!BK56*Precios!BK$3</f>
        <v>0</v>
      </c>
      <c r="BM58" s="12">
        <f>+Precios!BL56*Precios!BL$3</f>
        <v>0</v>
      </c>
    </row>
    <row r="59" spans="1:65" ht="15" thickBot="1">
      <c r="A59" s="5">
        <f t="shared" si="96"/>
        <v>0</v>
      </c>
      <c r="B59" s="15">
        <f>+Precios!A57</f>
        <v>46051</v>
      </c>
      <c r="C59" s="12">
        <f>+Precios!B57*Precios!B$3</f>
        <v>0</v>
      </c>
      <c r="D59" s="12">
        <f>+Precios!C57*Precios!C$3</f>
        <v>0</v>
      </c>
      <c r="E59" s="12">
        <f>+Precios!D57*Precios!D$3</f>
        <v>0</v>
      </c>
      <c r="F59" s="12">
        <f>+Precios!E57*Precios!E$3</f>
        <v>0</v>
      </c>
      <c r="G59" s="12">
        <f>+Precios!F57*Precios!F$3</f>
        <v>0</v>
      </c>
      <c r="H59" s="12">
        <f>+Precios!G57*Precios!G$3</f>
        <v>0</v>
      </c>
      <c r="I59" s="12">
        <f>+Precios!H57*Precios!H$3</f>
        <v>0</v>
      </c>
      <c r="J59" s="12">
        <f>+Precios!I57*Precios!I$3</f>
        <v>0</v>
      </c>
      <c r="K59" s="12">
        <f>+Precios!J57*Precios!J$3</f>
        <v>0</v>
      </c>
      <c r="L59" s="12">
        <f>+Precios!K57*Precios!K$3</f>
        <v>0</v>
      </c>
      <c r="M59" s="12">
        <f>+Precios!L57*Precios!L$3</f>
        <v>0</v>
      </c>
      <c r="N59" s="12">
        <f>+Precios!M57*Precios!M$3</f>
        <v>0</v>
      </c>
      <c r="O59" s="12">
        <f>+Precios!N57*Precios!N$3</f>
        <v>0</v>
      </c>
      <c r="P59" s="12">
        <f>+Precios!O57*Precios!O$3</f>
        <v>0</v>
      </c>
      <c r="Q59" s="12">
        <f>+Precios!P57*Precios!P$3</f>
        <v>0</v>
      </c>
      <c r="R59" s="12">
        <f>+Precios!Q57*Precios!Q$3</f>
        <v>0</v>
      </c>
      <c r="S59" s="12">
        <f>+Precios!R57*Precios!R$3</f>
        <v>0</v>
      </c>
      <c r="T59" s="12"/>
      <c r="U59" s="12"/>
      <c r="V59" s="12"/>
      <c r="W59" s="12"/>
      <c r="X59" s="12"/>
      <c r="Y59" s="12"/>
      <c r="Z59" s="12">
        <f t="shared" ref="Z59" si="138">+Z58</f>
        <v>0</v>
      </c>
      <c r="AA59" s="12">
        <f t="shared" si="123"/>
        <v>0</v>
      </c>
      <c r="AB59" s="12">
        <f t="shared" si="123"/>
        <v>0</v>
      </c>
      <c r="AC59" s="12">
        <f t="shared" si="123"/>
        <v>0</v>
      </c>
      <c r="AD59" s="12">
        <f t="shared" si="123"/>
        <v>0</v>
      </c>
      <c r="AE59" s="12">
        <f t="shared" si="123"/>
        <v>0</v>
      </c>
      <c r="AF59" s="12">
        <f t="shared" si="123"/>
        <v>0</v>
      </c>
      <c r="AG59" s="12">
        <f t="shared" si="123"/>
        <v>0</v>
      </c>
      <c r="AH59" s="12">
        <f t="shared" si="123"/>
        <v>0</v>
      </c>
      <c r="AI59" s="12">
        <f t="shared" si="123"/>
        <v>0</v>
      </c>
      <c r="AJ59" s="12">
        <f t="shared" si="123"/>
        <v>0</v>
      </c>
      <c r="AK59" s="12">
        <f t="shared" si="123"/>
        <v>0</v>
      </c>
      <c r="AL59" s="12">
        <f t="shared" si="123"/>
        <v>0</v>
      </c>
      <c r="AM59" s="12">
        <f t="shared" si="123"/>
        <v>0</v>
      </c>
      <c r="AN59" s="12">
        <f t="shared" si="53"/>
        <v>0</v>
      </c>
      <c r="AO59" s="12"/>
      <c r="AP59" s="12">
        <f>+Precios!AO57*Precios!AO$3</f>
        <v>0</v>
      </c>
      <c r="AQ59" s="12">
        <f>+Precios!AP57*Precios!AP$3</f>
        <v>0</v>
      </c>
      <c r="AR59" s="12">
        <f>+Precios!AQ57*Precios!AQ$3</f>
        <v>0</v>
      </c>
      <c r="AS59" s="12">
        <f>+Precios!AR57*Precios!AR$3</f>
        <v>0</v>
      </c>
      <c r="AT59" s="12">
        <f>+Precios!AS57*Precios!AS$3</f>
        <v>0</v>
      </c>
      <c r="AU59" s="12">
        <f>+Precios!AT57*Precios!AT$3</f>
        <v>0</v>
      </c>
      <c r="AV59" s="12"/>
      <c r="AW59" s="12">
        <f>+Precios!AV57*Precios!AV$3</f>
        <v>0</v>
      </c>
      <c r="AX59" s="12">
        <f>+Precios!AW57*Precios!AW$3</f>
        <v>0</v>
      </c>
      <c r="AY59" s="12">
        <f>+Precios!AX57*Precios!AX$3</f>
        <v>0</v>
      </c>
      <c r="AZ59" s="12">
        <f>+Precios!AY57*Precios!AY$3</f>
        <v>0</v>
      </c>
      <c r="BA59" s="12">
        <f>+Precios!AZ57*Precios!AZ$3</f>
        <v>0</v>
      </c>
      <c r="BB59" s="12">
        <f>+Precios!BA57*Precios!BA$3</f>
        <v>0</v>
      </c>
      <c r="BC59" s="12">
        <f>+Precios!BB57*Precios!BB$3</f>
        <v>0</v>
      </c>
      <c r="BD59" s="12">
        <f>+Precios!BC57*Precios!BC$3</f>
        <v>0</v>
      </c>
      <c r="BE59" s="12">
        <f>+Precios!BD57*Precios!BD$3</f>
        <v>0</v>
      </c>
      <c r="BF59" s="12">
        <f>+Precios!BE57*Precios!BE$3</f>
        <v>0</v>
      </c>
      <c r="BG59" s="12">
        <f>+Precios!BF57*Precios!BF$3</f>
        <v>0</v>
      </c>
      <c r="BH59" s="12">
        <f>+Precios!BG57*Precios!BG$3</f>
        <v>0</v>
      </c>
      <c r="BI59" s="12">
        <f>+Precios!BH57*Precios!BH$3</f>
        <v>0</v>
      </c>
      <c r="BJ59" s="12">
        <f>+Precios!BI57*Precios!BI$3</f>
        <v>0</v>
      </c>
      <c r="BK59" s="12">
        <f>+Precios!BJ57*Precios!BJ$3</f>
        <v>0</v>
      </c>
      <c r="BL59" s="12">
        <f>+Precios!BK57*Precios!BK$3</f>
        <v>0</v>
      </c>
      <c r="BM59" s="12">
        <f>+Precios!BL57*Precios!BL$3</f>
        <v>0</v>
      </c>
    </row>
    <row r="60" spans="1:65" ht="15" thickBot="1">
      <c r="A60" s="5">
        <f t="shared" si="96"/>
        <v>0</v>
      </c>
      <c r="B60" s="15">
        <f>+Precios!A58</f>
        <v>46052</v>
      </c>
      <c r="C60" s="12">
        <f>+Precios!B58*Precios!B$3</f>
        <v>0</v>
      </c>
      <c r="D60" s="12">
        <f>+Precios!C58*Precios!C$3</f>
        <v>0</v>
      </c>
      <c r="E60" s="12">
        <f>+Precios!D58*Precios!D$3</f>
        <v>0</v>
      </c>
      <c r="F60" s="12">
        <f>+Precios!E58*Precios!E$3</f>
        <v>0</v>
      </c>
      <c r="G60" s="12">
        <f>+Precios!F58*Precios!F$3</f>
        <v>0</v>
      </c>
      <c r="H60" s="12">
        <f>+Precios!G58*Precios!G$3</f>
        <v>0</v>
      </c>
      <c r="I60" s="12">
        <f>+Precios!H58*Precios!H$3</f>
        <v>0</v>
      </c>
      <c r="J60" s="12">
        <f>+Precios!I58*Precios!I$3</f>
        <v>0</v>
      </c>
      <c r="K60" s="12">
        <f>+Precios!J58*Precios!J$3</f>
        <v>0</v>
      </c>
      <c r="L60" s="12">
        <f>+Precios!K58*Precios!K$3</f>
        <v>0</v>
      </c>
      <c r="M60" s="12">
        <f>+Precios!L58*Precios!L$3</f>
        <v>0</v>
      </c>
      <c r="N60" s="12">
        <f>+Precios!M58*Precios!M$3</f>
        <v>0</v>
      </c>
      <c r="O60" s="12">
        <f>+Precios!N58*Precios!N$3</f>
        <v>0</v>
      </c>
      <c r="P60" s="12">
        <f>+Precios!O58*Precios!O$3</f>
        <v>0</v>
      </c>
      <c r="Q60" s="12">
        <f>+Precios!P58*Precios!P$3</f>
        <v>0</v>
      </c>
      <c r="R60" s="12">
        <f>+Precios!Q58*Precios!Q$3</f>
        <v>0</v>
      </c>
      <c r="S60" s="12">
        <f>+Precios!R58*Precios!R$3</f>
        <v>0</v>
      </c>
      <c r="T60" s="12"/>
      <c r="U60" s="12"/>
      <c r="V60" s="12"/>
      <c r="W60" s="12"/>
      <c r="X60" s="12"/>
      <c r="Y60" s="12"/>
      <c r="Z60" s="12">
        <f t="shared" ref="Z60" si="139">+Z59</f>
        <v>0</v>
      </c>
      <c r="AA60" s="12">
        <f t="shared" si="123"/>
        <v>0</v>
      </c>
      <c r="AB60" s="12">
        <f t="shared" si="123"/>
        <v>0</v>
      </c>
      <c r="AC60" s="12">
        <f t="shared" si="123"/>
        <v>0</v>
      </c>
      <c r="AD60" s="12">
        <f t="shared" si="123"/>
        <v>0</v>
      </c>
      <c r="AE60" s="12">
        <f t="shared" si="123"/>
        <v>0</v>
      </c>
      <c r="AF60" s="12">
        <f t="shared" si="123"/>
        <v>0</v>
      </c>
      <c r="AG60" s="12">
        <f t="shared" si="123"/>
        <v>0</v>
      </c>
      <c r="AH60" s="12">
        <f t="shared" si="123"/>
        <v>0</v>
      </c>
      <c r="AI60" s="12">
        <f t="shared" si="123"/>
        <v>0</v>
      </c>
      <c r="AJ60" s="12">
        <f t="shared" si="123"/>
        <v>0</v>
      </c>
      <c r="AK60" s="12">
        <f t="shared" si="123"/>
        <v>0</v>
      </c>
      <c r="AL60" s="12">
        <f t="shared" si="123"/>
        <v>0</v>
      </c>
      <c r="AM60" s="12">
        <f t="shared" si="123"/>
        <v>0</v>
      </c>
      <c r="AN60" s="12">
        <f t="shared" si="53"/>
        <v>0</v>
      </c>
      <c r="AO60" s="12"/>
      <c r="AP60" s="12">
        <f>+Precios!AO58*Precios!AO$3</f>
        <v>0</v>
      </c>
      <c r="AQ60" s="12">
        <f>+Precios!AP58*Precios!AP$3</f>
        <v>0</v>
      </c>
      <c r="AR60" s="12">
        <f>+Precios!AQ58*Precios!AQ$3</f>
        <v>0</v>
      </c>
      <c r="AS60" s="12">
        <f>+Precios!AR58*Precios!AR$3</f>
        <v>0</v>
      </c>
      <c r="AT60" s="12">
        <f>+Precios!AS58*Precios!AS$3</f>
        <v>0</v>
      </c>
      <c r="AU60" s="12">
        <f>+Precios!AT58*Precios!AT$3</f>
        <v>0</v>
      </c>
      <c r="AV60" s="12"/>
      <c r="AW60" s="12">
        <f>+Precios!AV58*Precios!AV$3</f>
        <v>0</v>
      </c>
      <c r="AX60" s="12">
        <f>+Precios!AW58*Precios!AW$3</f>
        <v>0</v>
      </c>
      <c r="AY60" s="12">
        <f>+Precios!AX58*Precios!AX$3</f>
        <v>0</v>
      </c>
      <c r="AZ60" s="12">
        <f>+Precios!AY58*Precios!AY$3</f>
        <v>0</v>
      </c>
      <c r="BA60" s="12">
        <f>+Precios!AZ58*Precios!AZ$3</f>
        <v>0</v>
      </c>
      <c r="BB60" s="12">
        <f>+Precios!BA58*Precios!BA$3</f>
        <v>0</v>
      </c>
      <c r="BC60" s="12">
        <f>+Precios!BB58*Precios!BB$3</f>
        <v>0</v>
      </c>
      <c r="BD60" s="12">
        <f>+Precios!BC58*Precios!BC$3</f>
        <v>0</v>
      </c>
      <c r="BE60" s="12">
        <f>+Precios!BD58*Precios!BD$3</f>
        <v>0</v>
      </c>
      <c r="BF60" s="12">
        <f>+Precios!BE58*Precios!BE$3</f>
        <v>0</v>
      </c>
      <c r="BG60" s="12">
        <f>+Precios!BF58*Precios!BF$3</f>
        <v>0</v>
      </c>
      <c r="BH60" s="12">
        <f>+Precios!BG58*Precios!BG$3</f>
        <v>0</v>
      </c>
      <c r="BI60" s="12">
        <f>+Precios!BH58*Precios!BH$3</f>
        <v>0</v>
      </c>
      <c r="BJ60" s="12">
        <f>+Precios!BI58*Precios!BI$3</f>
        <v>0</v>
      </c>
      <c r="BK60" s="12">
        <f>+Precios!BJ58*Precios!BJ$3</f>
        <v>0</v>
      </c>
      <c r="BL60" s="12">
        <f>+Precios!BK58*Precios!BK$3</f>
        <v>0</v>
      </c>
      <c r="BM60" s="12">
        <f>+Precios!BL58*Precios!BL$3</f>
        <v>0</v>
      </c>
    </row>
    <row r="61" spans="1:65" ht="15" thickBot="1">
      <c r="A61" s="5">
        <f t="shared" si="96"/>
        <v>0</v>
      </c>
      <c r="B61" s="15">
        <f>+Precios!A59</f>
        <v>46055</v>
      </c>
      <c r="C61" s="12">
        <f>+Precios!B59*Precios!B$3</f>
        <v>0</v>
      </c>
      <c r="D61" s="12">
        <f>+Precios!C59*Precios!C$3</f>
        <v>0</v>
      </c>
      <c r="E61" s="12">
        <f>+Precios!D59*Precios!D$3</f>
        <v>0</v>
      </c>
      <c r="F61" s="12">
        <f>+Precios!E59*Precios!E$3</f>
        <v>0</v>
      </c>
      <c r="G61" s="12">
        <f>+Precios!F59*Precios!F$3</f>
        <v>0</v>
      </c>
      <c r="H61" s="12">
        <f>+Precios!G59*Precios!G$3</f>
        <v>0</v>
      </c>
      <c r="I61" s="12">
        <f>+Precios!H59*Precios!H$3</f>
        <v>0</v>
      </c>
      <c r="J61" s="12">
        <f>+Precios!I59*Precios!I$3</f>
        <v>0</v>
      </c>
      <c r="K61" s="12">
        <f>+Precios!J59*Precios!J$3</f>
        <v>0</v>
      </c>
      <c r="L61" s="12">
        <f>+Precios!K59*Precios!K$3</f>
        <v>0</v>
      </c>
      <c r="M61" s="12">
        <f>+Precios!L59*Precios!L$3</f>
        <v>0</v>
      </c>
      <c r="N61" s="12">
        <f>+Precios!M59*Precios!M$3</f>
        <v>0</v>
      </c>
      <c r="O61" s="12">
        <f>+Precios!N59*Precios!N$3</f>
        <v>0</v>
      </c>
      <c r="P61" s="12">
        <f>+Precios!O59*Precios!O$3</f>
        <v>0</v>
      </c>
      <c r="Q61" s="12">
        <f>+Precios!P59*Precios!P$3</f>
        <v>0</v>
      </c>
      <c r="R61" s="12">
        <f>+Precios!Q59*Precios!Q$3</f>
        <v>0</v>
      </c>
      <c r="S61" s="12">
        <f>+Precios!R59*Precios!R$3</f>
        <v>0</v>
      </c>
      <c r="T61" s="12"/>
      <c r="U61" s="12"/>
      <c r="V61" s="12"/>
      <c r="W61" s="12"/>
      <c r="X61" s="12"/>
      <c r="Y61" s="12"/>
      <c r="Z61" s="12"/>
      <c r="AA61" s="12"/>
      <c r="AB61" s="12">
        <f t="shared" ref="AB61:AN61" si="140">+AB60</f>
        <v>0</v>
      </c>
      <c r="AC61" s="12">
        <f t="shared" si="140"/>
        <v>0</v>
      </c>
      <c r="AD61" s="12">
        <f t="shared" si="140"/>
        <v>0</v>
      </c>
      <c r="AE61" s="12">
        <f t="shared" si="140"/>
        <v>0</v>
      </c>
      <c r="AF61" s="12">
        <f t="shared" si="140"/>
        <v>0</v>
      </c>
      <c r="AG61" s="12">
        <f t="shared" si="140"/>
        <v>0</v>
      </c>
      <c r="AH61" s="12">
        <f t="shared" si="140"/>
        <v>0</v>
      </c>
      <c r="AI61" s="12">
        <f t="shared" si="140"/>
        <v>0</v>
      </c>
      <c r="AJ61" s="12">
        <f t="shared" si="140"/>
        <v>0</v>
      </c>
      <c r="AK61" s="12">
        <f t="shared" si="140"/>
        <v>0</v>
      </c>
      <c r="AL61" s="12">
        <f t="shared" si="140"/>
        <v>0</v>
      </c>
      <c r="AM61" s="12">
        <f t="shared" si="140"/>
        <v>0</v>
      </c>
      <c r="AN61" s="12">
        <f t="shared" si="140"/>
        <v>0</v>
      </c>
      <c r="AO61" s="12"/>
      <c r="AP61" s="12">
        <f>+Precios!AO59*Precios!AO$3</f>
        <v>0</v>
      </c>
      <c r="AQ61" s="12">
        <f>+Precios!AP59*Precios!AP$3</f>
        <v>0</v>
      </c>
      <c r="AR61" s="12">
        <f>+Precios!AQ59*Precios!AQ$3</f>
        <v>0</v>
      </c>
      <c r="AS61" s="12">
        <f>+Precios!AR59*Precios!AR$3</f>
        <v>0</v>
      </c>
      <c r="AT61" s="12">
        <f>+Precios!AS59*Precios!AS$3</f>
        <v>0</v>
      </c>
      <c r="AU61" s="12">
        <f>+Precios!AT59*Precios!AT$3</f>
        <v>0</v>
      </c>
      <c r="AV61" s="12"/>
      <c r="AW61" s="12">
        <f>+Precios!AV59*Precios!AV$3</f>
        <v>0</v>
      </c>
      <c r="AX61" s="12">
        <f>+Precios!AW59*Precios!AW$3</f>
        <v>0</v>
      </c>
      <c r="AY61" s="12">
        <f>+Precios!AX59*Precios!AX$3</f>
        <v>0</v>
      </c>
      <c r="AZ61" s="12">
        <f>+Precios!AY59*Precios!AY$3</f>
        <v>0</v>
      </c>
      <c r="BA61" s="12">
        <f>+Precios!AZ59*Precios!AZ$3</f>
        <v>0</v>
      </c>
      <c r="BB61" s="12">
        <f>+Precios!BA59*Precios!BA$3</f>
        <v>0</v>
      </c>
      <c r="BC61" s="12">
        <f>+Precios!BB59*Precios!BB$3</f>
        <v>0</v>
      </c>
      <c r="BD61" s="12">
        <f>+Precios!BC59*Precios!BC$3</f>
        <v>0</v>
      </c>
      <c r="BE61" s="12">
        <f>+Precios!BD59*Precios!BD$3</f>
        <v>0</v>
      </c>
      <c r="BF61" s="12">
        <f>+Precios!BE59*Precios!BE$3</f>
        <v>0</v>
      </c>
      <c r="BG61" s="12">
        <f>+Precios!BF59*Precios!BF$3</f>
        <v>0</v>
      </c>
      <c r="BH61" s="12">
        <f>+Precios!BG59*Precios!BG$3</f>
        <v>0</v>
      </c>
      <c r="BI61" s="12">
        <f>+Precios!BH59*Precios!BH$3</f>
        <v>0</v>
      </c>
      <c r="BJ61" s="12">
        <f>+Precios!BI59*Precios!BI$3</f>
        <v>0</v>
      </c>
      <c r="BK61" s="12">
        <f>+Precios!BJ59*Precios!BJ$3</f>
        <v>0</v>
      </c>
      <c r="BL61" s="12">
        <f>+Precios!BK59*Precios!BK$3</f>
        <v>0</v>
      </c>
      <c r="BM61" s="12">
        <f>+Precios!BL59*Precios!BL$3</f>
        <v>0</v>
      </c>
    </row>
    <row r="62" spans="1:65" ht="15" thickBot="1">
      <c r="A62" s="5">
        <f t="shared" si="96"/>
        <v>0</v>
      </c>
      <c r="B62" s="15">
        <f>+Precios!A60</f>
        <v>46056</v>
      </c>
      <c r="C62" s="12">
        <f>+Precios!B60*Precios!B$3</f>
        <v>0</v>
      </c>
      <c r="D62" s="12">
        <f>+Precios!C60*Precios!C$3</f>
        <v>0</v>
      </c>
      <c r="E62" s="12">
        <f>+Precios!D60*Precios!D$3</f>
        <v>0</v>
      </c>
      <c r="F62" s="12">
        <f>+Precios!E60*Precios!E$3</f>
        <v>0</v>
      </c>
      <c r="G62" s="12">
        <f>+Precios!F60*Precios!F$3</f>
        <v>0</v>
      </c>
      <c r="H62" s="12">
        <f>+Precios!G60*Precios!G$3</f>
        <v>0</v>
      </c>
      <c r="I62" s="12">
        <f>+Precios!H60*Precios!H$3</f>
        <v>0</v>
      </c>
      <c r="J62" s="12">
        <f>+Precios!I60*Precios!I$3</f>
        <v>0</v>
      </c>
      <c r="K62" s="12">
        <f>+Precios!J60*Precios!J$3</f>
        <v>0</v>
      </c>
      <c r="L62" s="12">
        <f>+Precios!K60*Precios!K$3</f>
        <v>0</v>
      </c>
      <c r="M62" s="12">
        <f>+Precios!L60*Precios!L$3</f>
        <v>0</v>
      </c>
      <c r="N62" s="12">
        <f>+Precios!M60*Precios!M$3</f>
        <v>0</v>
      </c>
      <c r="O62" s="12">
        <f>+Precios!N60*Precios!N$3</f>
        <v>0</v>
      </c>
      <c r="P62" s="12">
        <f>+Precios!O60*Precios!O$3</f>
        <v>0</v>
      </c>
      <c r="Q62" s="12">
        <f>+Precios!P60*Precios!P$3</f>
        <v>0</v>
      </c>
      <c r="R62" s="12">
        <f>+Precios!Q60*Precios!Q$3</f>
        <v>0</v>
      </c>
      <c r="S62" s="12">
        <f>+Precios!R60*Precios!R$3</f>
        <v>0</v>
      </c>
      <c r="T62" s="12"/>
      <c r="U62" s="12"/>
      <c r="V62" s="12"/>
      <c r="W62" s="12"/>
      <c r="X62" s="12"/>
      <c r="Y62" s="12"/>
      <c r="Z62" s="12"/>
      <c r="AA62" s="12"/>
      <c r="AB62" s="12">
        <f t="shared" ref="AB62:AN62" si="141">+AB61</f>
        <v>0</v>
      </c>
      <c r="AC62" s="12">
        <f t="shared" si="141"/>
        <v>0</v>
      </c>
      <c r="AD62" s="12">
        <f t="shared" si="141"/>
        <v>0</v>
      </c>
      <c r="AE62" s="12">
        <f t="shared" si="141"/>
        <v>0</v>
      </c>
      <c r="AF62" s="12">
        <f t="shared" si="141"/>
        <v>0</v>
      </c>
      <c r="AG62" s="12">
        <f t="shared" si="141"/>
        <v>0</v>
      </c>
      <c r="AH62" s="12">
        <f t="shared" si="141"/>
        <v>0</v>
      </c>
      <c r="AI62" s="12">
        <f t="shared" si="141"/>
        <v>0</v>
      </c>
      <c r="AJ62" s="12">
        <f t="shared" si="141"/>
        <v>0</v>
      </c>
      <c r="AK62" s="12">
        <f t="shared" si="141"/>
        <v>0</v>
      </c>
      <c r="AL62" s="12">
        <f t="shared" si="141"/>
        <v>0</v>
      </c>
      <c r="AM62" s="12">
        <f t="shared" si="141"/>
        <v>0</v>
      </c>
      <c r="AN62" s="12">
        <f t="shared" si="141"/>
        <v>0</v>
      </c>
      <c r="AO62" s="12">
        <f>+Precios!AN60*Precios!AN$3</f>
        <v>0</v>
      </c>
      <c r="AP62" s="12">
        <f>+Precios!AO60*Precios!AO$3</f>
        <v>0</v>
      </c>
      <c r="AQ62" s="12">
        <f>+Precios!AP60*Precios!AP$3</f>
        <v>0</v>
      </c>
      <c r="AR62" s="12">
        <f>+Precios!AQ60*Precios!AQ$3</f>
        <v>0</v>
      </c>
      <c r="AS62" s="12">
        <f>+Precios!AR60*Precios!AR$3</f>
        <v>0</v>
      </c>
      <c r="AT62" s="12">
        <f>+Precios!AS60*Precios!AS$3</f>
        <v>0</v>
      </c>
      <c r="AU62" s="12">
        <f>+Precios!AT60*Precios!AT$3</f>
        <v>0</v>
      </c>
      <c r="AV62" s="12"/>
      <c r="AW62" s="12">
        <f>+Precios!AV60*Precios!AV$3</f>
        <v>0</v>
      </c>
      <c r="AX62" s="12">
        <f>+Precios!AW60*Precios!AW$3</f>
        <v>0</v>
      </c>
      <c r="AY62" s="12">
        <f>+Precios!AX60*Precios!AX$3</f>
        <v>0</v>
      </c>
      <c r="AZ62" s="12">
        <f>+Precios!AY60*Precios!AY$3</f>
        <v>0</v>
      </c>
      <c r="BA62" s="12">
        <f>+Precios!AZ60*Precios!AZ$3</f>
        <v>0</v>
      </c>
      <c r="BB62" s="12">
        <f>+Precios!BA60*Precios!BA$3</f>
        <v>0</v>
      </c>
      <c r="BC62" s="12">
        <f>+Precios!BB60*Precios!BB$3</f>
        <v>0</v>
      </c>
      <c r="BD62" s="12">
        <f>+Precios!BC60*Precios!BC$3</f>
        <v>0</v>
      </c>
      <c r="BE62" s="12">
        <f>+Precios!BD60*Precios!BD$3</f>
        <v>0</v>
      </c>
      <c r="BF62" s="12">
        <f>+Precios!BE60*Precios!BE$3</f>
        <v>0</v>
      </c>
      <c r="BG62" s="12">
        <f>+Precios!BF60*Precios!BF$3</f>
        <v>0</v>
      </c>
      <c r="BH62" s="12">
        <f>+Precios!BG60*Precios!BG$3</f>
        <v>0</v>
      </c>
      <c r="BI62" s="12">
        <f>+Precios!BH60*Precios!BH$3</f>
        <v>0</v>
      </c>
      <c r="BJ62" s="12">
        <f>+Precios!BI60*Precios!BI$3</f>
        <v>0</v>
      </c>
      <c r="BK62" s="12">
        <f>+Precios!BJ60*Precios!BJ$3</f>
        <v>0</v>
      </c>
      <c r="BL62" s="12">
        <f>+Precios!BK60*Precios!BK$3</f>
        <v>0</v>
      </c>
      <c r="BM62" s="12">
        <f>+Precios!BL60*Precios!BL$3</f>
        <v>0</v>
      </c>
    </row>
    <row r="63" spans="1:65" ht="15" thickBot="1">
      <c r="A63" s="5">
        <f t="shared" si="96"/>
        <v>0</v>
      </c>
      <c r="B63" s="15">
        <f>+Precios!A61</f>
        <v>46057</v>
      </c>
      <c r="C63" s="12">
        <f>+Precios!B61*Precios!B$3</f>
        <v>0</v>
      </c>
      <c r="D63" s="12">
        <f>+Precios!C61*Precios!C$3</f>
        <v>0</v>
      </c>
      <c r="E63" s="12">
        <f>+Precios!D61*Precios!D$3</f>
        <v>0</v>
      </c>
      <c r="F63" s="12">
        <f>+Precios!E61*Precios!E$3</f>
        <v>0</v>
      </c>
      <c r="G63" s="12">
        <f>+Precios!F61*Precios!F$3</f>
        <v>0</v>
      </c>
      <c r="H63" s="12">
        <f>+Precios!G61*Precios!G$3</f>
        <v>0</v>
      </c>
      <c r="I63" s="12">
        <f>+Precios!H61*Precios!H$3</f>
        <v>0</v>
      </c>
      <c r="J63" s="12">
        <f>+Precios!I61*Precios!I$3</f>
        <v>0</v>
      </c>
      <c r="K63" s="12">
        <f>+Precios!J61*Precios!J$3</f>
        <v>0</v>
      </c>
      <c r="L63" s="12">
        <f>+Precios!K61*Precios!K$3</f>
        <v>0</v>
      </c>
      <c r="M63" s="12">
        <f>+Precios!L61*Precios!L$3</f>
        <v>0</v>
      </c>
      <c r="N63" s="12">
        <f>+Precios!M61*Precios!M$3</f>
        <v>0</v>
      </c>
      <c r="O63" s="12">
        <f>+Precios!N61*Precios!N$3</f>
        <v>0</v>
      </c>
      <c r="P63" s="12">
        <f>+Precios!O61*Precios!O$3</f>
        <v>0</v>
      </c>
      <c r="Q63" s="12">
        <f>+Precios!P61*Precios!P$3</f>
        <v>0</v>
      </c>
      <c r="R63" s="12">
        <f>+Precios!Q61*Precios!Q$3</f>
        <v>0</v>
      </c>
      <c r="S63" s="12">
        <f>+Precios!R61*Precios!R$3</f>
        <v>0</v>
      </c>
      <c r="T63" s="12"/>
      <c r="U63" s="12"/>
      <c r="V63" s="12"/>
      <c r="W63" s="12"/>
      <c r="X63" s="12"/>
      <c r="Y63" s="12"/>
      <c r="Z63" s="12"/>
      <c r="AA63" s="12"/>
      <c r="AB63" s="12">
        <f t="shared" ref="AB63:AN63" si="142">+AB62</f>
        <v>0</v>
      </c>
      <c r="AC63" s="12">
        <f t="shared" si="142"/>
        <v>0</v>
      </c>
      <c r="AD63" s="12">
        <f t="shared" si="142"/>
        <v>0</v>
      </c>
      <c r="AE63" s="12">
        <f t="shared" si="142"/>
        <v>0</v>
      </c>
      <c r="AF63" s="12">
        <f t="shared" si="142"/>
        <v>0</v>
      </c>
      <c r="AG63" s="12">
        <f t="shared" si="142"/>
        <v>0</v>
      </c>
      <c r="AH63" s="12">
        <f t="shared" si="142"/>
        <v>0</v>
      </c>
      <c r="AI63" s="12">
        <f t="shared" si="142"/>
        <v>0</v>
      </c>
      <c r="AJ63" s="12">
        <f t="shared" si="142"/>
        <v>0</v>
      </c>
      <c r="AK63" s="12">
        <f t="shared" si="142"/>
        <v>0</v>
      </c>
      <c r="AL63" s="12">
        <f t="shared" si="142"/>
        <v>0</v>
      </c>
      <c r="AM63" s="12">
        <f t="shared" si="142"/>
        <v>0</v>
      </c>
      <c r="AN63" s="12">
        <f t="shared" si="142"/>
        <v>0</v>
      </c>
      <c r="AO63" s="12">
        <f t="shared" si="53"/>
        <v>0</v>
      </c>
      <c r="AP63" s="12">
        <f>+Precios!AO61*Precios!AO$3</f>
        <v>0</v>
      </c>
      <c r="AQ63" s="12">
        <f>+Precios!AP61*Precios!AP$3</f>
        <v>0</v>
      </c>
      <c r="AR63" s="12">
        <f>+Precios!AQ61*Precios!AQ$3</f>
        <v>0</v>
      </c>
      <c r="AS63" s="12">
        <f>+Precios!AR61*Precios!AR$3</f>
        <v>0</v>
      </c>
      <c r="AT63" s="12">
        <f>+Precios!AS61*Precios!AS$3</f>
        <v>0</v>
      </c>
      <c r="AU63" s="12">
        <f>+Precios!AT61*Precios!AT$3</f>
        <v>0</v>
      </c>
      <c r="AV63" s="12"/>
      <c r="AW63" s="12">
        <f>+Precios!AV61*Precios!AV$3</f>
        <v>0</v>
      </c>
      <c r="AX63" s="12">
        <f>+Precios!AW61*Precios!AW$3</f>
        <v>0</v>
      </c>
      <c r="AY63" s="12">
        <f>+Precios!AX61*Precios!AX$3</f>
        <v>0</v>
      </c>
      <c r="AZ63" s="12">
        <f>+Precios!AY61*Precios!AY$3</f>
        <v>0</v>
      </c>
      <c r="BA63" s="12">
        <f>+Precios!AZ61*Precios!AZ$3</f>
        <v>0</v>
      </c>
      <c r="BB63" s="12">
        <f>+Precios!BA61*Precios!BA$3</f>
        <v>0</v>
      </c>
      <c r="BC63" s="12">
        <f>+Precios!BB61*Precios!BB$3</f>
        <v>0</v>
      </c>
      <c r="BD63" s="12">
        <f>+Precios!BC61*Precios!BC$3</f>
        <v>0</v>
      </c>
      <c r="BE63" s="12">
        <f>+Precios!BD61*Precios!BD$3</f>
        <v>0</v>
      </c>
      <c r="BF63" s="12">
        <f>+Precios!BE61*Precios!BE$3</f>
        <v>0</v>
      </c>
      <c r="BG63" s="12">
        <f>+Precios!BF61*Precios!BF$3</f>
        <v>0</v>
      </c>
      <c r="BH63" s="12">
        <f>+Precios!BG61*Precios!BG$3</f>
        <v>0</v>
      </c>
      <c r="BI63" s="12">
        <f>+Precios!BH61*Precios!BH$3</f>
        <v>0</v>
      </c>
      <c r="BJ63" s="12">
        <f>+Precios!BI61*Precios!BI$3</f>
        <v>0</v>
      </c>
      <c r="BK63" s="12">
        <f>+Precios!BJ61*Precios!BJ$3</f>
        <v>0</v>
      </c>
      <c r="BL63" s="12">
        <f>+Precios!BK61*Precios!BK$3</f>
        <v>0</v>
      </c>
      <c r="BM63" s="12">
        <f>+Precios!BL61*Precios!BL$3</f>
        <v>0</v>
      </c>
    </row>
    <row r="64" spans="1:65" ht="15" thickBot="1">
      <c r="A64" s="5">
        <f t="shared" si="96"/>
        <v>0</v>
      </c>
      <c r="B64" s="15">
        <f>+Precios!A62</f>
        <v>46058</v>
      </c>
      <c r="C64" s="12">
        <f>+Precios!B62*Precios!B$3</f>
        <v>0</v>
      </c>
      <c r="D64" s="12">
        <f>+Precios!C62*Precios!C$3</f>
        <v>0</v>
      </c>
      <c r="E64" s="12">
        <f>+Precios!D62*Precios!D$3</f>
        <v>0</v>
      </c>
      <c r="F64" s="12">
        <f>+Precios!E62*Precios!E$3</f>
        <v>0</v>
      </c>
      <c r="G64" s="12">
        <f>+Precios!F62*Precios!F$3</f>
        <v>0</v>
      </c>
      <c r="H64" s="12">
        <f>+Precios!G62*Precios!G$3</f>
        <v>0</v>
      </c>
      <c r="I64" s="12">
        <f>+Precios!H62*Precios!H$3</f>
        <v>0</v>
      </c>
      <c r="J64" s="12">
        <f>+Precios!I62*Precios!I$3</f>
        <v>0</v>
      </c>
      <c r="K64" s="12">
        <f>+Precios!J62*Precios!J$3</f>
        <v>0</v>
      </c>
      <c r="L64" s="12">
        <f>+Precios!K62*Precios!K$3</f>
        <v>0</v>
      </c>
      <c r="M64" s="12">
        <f>+Precios!L62*Precios!L$3</f>
        <v>0</v>
      </c>
      <c r="N64" s="12">
        <f>+Precios!M62*Precios!M$3</f>
        <v>0</v>
      </c>
      <c r="O64" s="12">
        <f>+Precios!N62*Precios!N$3</f>
        <v>0</v>
      </c>
      <c r="P64" s="12">
        <f>+Precios!O62*Precios!O$3</f>
        <v>0</v>
      </c>
      <c r="Q64" s="12">
        <f>+Precios!P62*Precios!P$3</f>
        <v>0</v>
      </c>
      <c r="R64" s="12">
        <f>+Precios!Q62*Precios!Q$3</f>
        <v>0</v>
      </c>
      <c r="S64" s="12">
        <f>+Precios!R62*Precios!R$3</f>
        <v>0</v>
      </c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>
        <f t="shared" ref="AM64" si="143">+AM63</f>
        <v>0</v>
      </c>
      <c r="AN64" s="12"/>
      <c r="AO64" s="12">
        <f t="shared" ref="AO64:AO80" si="144">+AO63</f>
        <v>0</v>
      </c>
      <c r="AP64" s="12">
        <f>+Precios!AO62*Precios!AO$3</f>
        <v>0</v>
      </c>
      <c r="AQ64" s="12">
        <f>+Precios!AP62*Precios!AP$3</f>
        <v>0</v>
      </c>
      <c r="AR64" s="12">
        <f>+Precios!AQ62*Precios!AQ$3</f>
        <v>0</v>
      </c>
      <c r="AS64" s="12">
        <f>+Precios!AR62*Precios!AR$3</f>
        <v>0</v>
      </c>
      <c r="AT64" s="12">
        <f>+Precios!AS62*Precios!AS$3</f>
        <v>0</v>
      </c>
      <c r="AU64" s="12">
        <f>+Precios!AT62*Precios!AT$3</f>
        <v>0</v>
      </c>
      <c r="AV64" s="12"/>
      <c r="AW64" s="12">
        <f>+Precios!AV62*Precios!AV$3</f>
        <v>0</v>
      </c>
      <c r="AX64" s="12">
        <f>+Precios!AW62*Precios!AW$3</f>
        <v>0</v>
      </c>
      <c r="AY64" s="12">
        <f>+Precios!AX62*Precios!AX$3</f>
        <v>0</v>
      </c>
      <c r="AZ64" s="12">
        <f>+Precios!AY62*Precios!AY$3</f>
        <v>0</v>
      </c>
      <c r="BA64" s="12">
        <f>+Precios!AZ62*Precios!AZ$3</f>
        <v>0</v>
      </c>
      <c r="BB64" s="12">
        <f>+Precios!BA62*Precios!BA$3</f>
        <v>0</v>
      </c>
      <c r="BC64" s="12">
        <f>+Precios!BB62*Precios!BB$3</f>
        <v>0</v>
      </c>
      <c r="BD64" s="12">
        <f>+Precios!BC62*Precios!BC$3</f>
        <v>0</v>
      </c>
      <c r="BE64" s="12">
        <f>+Precios!BD62*Precios!BD$3</f>
        <v>0</v>
      </c>
      <c r="BF64" s="12">
        <f>+Precios!BE62*Precios!BE$3</f>
        <v>0</v>
      </c>
      <c r="BG64" s="12">
        <f>+Precios!BF62*Precios!BF$3</f>
        <v>0</v>
      </c>
      <c r="BH64" s="12">
        <f>+Precios!BG62*Precios!BG$3</f>
        <v>0</v>
      </c>
      <c r="BI64" s="12">
        <f>+Precios!BH62*Precios!BH$3</f>
        <v>0</v>
      </c>
      <c r="BJ64" s="12">
        <f>+Precios!BI62*Precios!BI$3</f>
        <v>0</v>
      </c>
      <c r="BK64" s="12">
        <f>+Precios!BJ62*Precios!BJ$3</f>
        <v>0</v>
      </c>
      <c r="BL64" s="12">
        <f>+Precios!BK62*Precios!BK$3</f>
        <v>0</v>
      </c>
      <c r="BM64" s="12">
        <f>+Precios!BL62*Precios!BL$3</f>
        <v>0</v>
      </c>
    </row>
    <row r="65" spans="1:74" ht="15" thickBot="1">
      <c r="A65" s="5">
        <f t="shared" si="96"/>
        <v>0</v>
      </c>
      <c r="B65" s="15">
        <f>+Precios!A63</f>
        <v>46059</v>
      </c>
      <c r="C65" s="12">
        <f>+Precios!B63*Precios!B$3</f>
        <v>0</v>
      </c>
      <c r="D65" s="12">
        <f>+Precios!C63*Precios!C$3</f>
        <v>0</v>
      </c>
      <c r="E65" s="12">
        <f>+Precios!D63*Precios!D$3</f>
        <v>0</v>
      </c>
      <c r="F65" s="12">
        <f>+Precios!E63*Precios!E$3</f>
        <v>0</v>
      </c>
      <c r="G65" s="12">
        <f>+Precios!F63*Precios!F$3</f>
        <v>0</v>
      </c>
      <c r="H65" s="12">
        <f>+Precios!G63*Precios!G$3</f>
        <v>0</v>
      </c>
      <c r="I65" s="12">
        <f>+Precios!H63*Precios!H$3</f>
        <v>0</v>
      </c>
      <c r="J65" s="12">
        <f>+Precios!I63*Precios!I$3</f>
        <v>0</v>
      </c>
      <c r="K65" s="12">
        <f>+Precios!J63*Precios!J$3</f>
        <v>0</v>
      </c>
      <c r="L65" s="12">
        <f>+Precios!K63*Precios!K$3</f>
        <v>0</v>
      </c>
      <c r="M65" s="12">
        <f>+Precios!L63*Precios!L$3</f>
        <v>0</v>
      </c>
      <c r="N65" s="12">
        <f>+Precios!M63*Precios!M$3</f>
        <v>0</v>
      </c>
      <c r="O65" s="12">
        <f>+Precios!N63*Precios!N$3</f>
        <v>0</v>
      </c>
      <c r="P65" s="12">
        <f>+Precios!O63*Precios!O$3</f>
        <v>0</v>
      </c>
      <c r="Q65" s="12">
        <f>+Precios!P63*Precios!P$3</f>
        <v>0</v>
      </c>
      <c r="R65" s="12">
        <f>+Precios!Q63*Precios!Q$3</f>
        <v>0</v>
      </c>
      <c r="S65" s="12">
        <f>+Precios!R63*Precios!R$3</f>
        <v>0</v>
      </c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>
        <f t="shared" si="144"/>
        <v>0</v>
      </c>
      <c r="AP65" s="12">
        <f>+AP64</f>
        <v>0</v>
      </c>
      <c r="AQ65" s="12">
        <f>+Precios!AP63*Precios!AP$3</f>
        <v>0</v>
      </c>
      <c r="AR65" s="12">
        <f>+Precios!AQ63*Precios!AQ$3</f>
        <v>0</v>
      </c>
      <c r="AS65" s="12">
        <f>+Precios!AR63*Precios!AR$3</f>
        <v>0</v>
      </c>
      <c r="AT65" s="12">
        <f>+Precios!AS63*Precios!AS$3</f>
        <v>0</v>
      </c>
      <c r="AU65" s="12">
        <f>+Precios!AT63*Precios!AT$3</f>
        <v>0</v>
      </c>
      <c r="AV65" s="12"/>
      <c r="AW65" s="12">
        <f>+Precios!AV63*Precios!AV$3</f>
        <v>0</v>
      </c>
      <c r="AX65" s="12">
        <f>+Precios!AW63*Precios!AW$3</f>
        <v>0</v>
      </c>
      <c r="AY65" s="12">
        <f>+Precios!AX63*Precios!AX$3</f>
        <v>0</v>
      </c>
      <c r="AZ65" s="12">
        <f>+Precios!AY63*Precios!AY$3</f>
        <v>0</v>
      </c>
      <c r="BA65" s="12">
        <f>+Precios!AZ63*Precios!AZ$3</f>
        <v>0</v>
      </c>
      <c r="BB65" s="12">
        <f>+Precios!BA63*Precios!BA$3</f>
        <v>0</v>
      </c>
      <c r="BC65" s="12">
        <f>+Precios!BB63*Precios!BB$3</f>
        <v>0</v>
      </c>
      <c r="BD65" s="12">
        <f>+Precios!BC63*Precios!BC$3</f>
        <v>0</v>
      </c>
      <c r="BE65" s="12">
        <f>+Precios!BD63*Precios!BD$3</f>
        <v>0</v>
      </c>
      <c r="BF65" s="12">
        <f>+Precios!BE63*Precios!BE$3</f>
        <v>0</v>
      </c>
      <c r="BG65" s="12">
        <f>+Precios!BF63*Precios!BF$3</f>
        <v>0</v>
      </c>
      <c r="BH65" s="12">
        <f>+Precios!BG63*Precios!BG$3</f>
        <v>0</v>
      </c>
      <c r="BI65" s="12">
        <f>+Precios!BH63*Precios!BH$3</f>
        <v>0</v>
      </c>
      <c r="BJ65" s="12">
        <f>+Precios!BI63*Precios!BI$3</f>
        <v>0</v>
      </c>
      <c r="BK65" s="12">
        <f>+Precios!BJ63*Precios!BJ$3</f>
        <v>0</v>
      </c>
      <c r="BL65" s="12">
        <f>+Precios!BK63*Precios!BK$3</f>
        <v>0</v>
      </c>
      <c r="BM65" s="12">
        <f>+Precios!BL63*Precios!BL$3</f>
        <v>0</v>
      </c>
    </row>
    <row r="66" spans="1:74" ht="15" thickBot="1">
      <c r="A66" s="5">
        <f t="shared" si="96"/>
        <v>0</v>
      </c>
      <c r="B66" s="15">
        <f>+Precios!A64</f>
        <v>46062</v>
      </c>
      <c r="C66" s="12">
        <f>+Precios!B64*Precios!B$3</f>
        <v>0</v>
      </c>
      <c r="D66" s="12">
        <f>+Precios!C64*Precios!C$3</f>
        <v>0</v>
      </c>
      <c r="E66" s="12">
        <f>+Precios!D64*Precios!D$3</f>
        <v>0</v>
      </c>
      <c r="F66" s="12">
        <f>+Precios!E64*Precios!E$3</f>
        <v>0</v>
      </c>
      <c r="G66" s="12">
        <f>+Precios!F64*Precios!F$3</f>
        <v>0</v>
      </c>
      <c r="H66" s="12">
        <f>+Precios!G64*Precios!G$3</f>
        <v>0</v>
      </c>
      <c r="I66" s="12">
        <f>+Precios!H64*Precios!H$3</f>
        <v>0</v>
      </c>
      <c r="J66" s="12">
        <f>+Precios!I64*Precios!I$3</f>
        <v>0</v>
      </c>
      <c r="K66" s="12">
        <f>+Precios!J64*Precios!J$3</f>
        <v>0</v>
      </c>
      <c r="L66" s="12">
        <f>+Precios!K64*Precios!K$3</f>
        <v>0</v>
      </c>
      <c r="M66" s="12">
        <f>+Precios!L64*Precios!L$3</f>
        <v>0</v>
      </c>
      <c r="N66" s="12">
        <f>+Precios!M64*Precios!M$3</f>
        <v>0</v>
      </c>
      <c r="O66" s="12">
        <f>+Precios!N64*Precios!N$3</f>
        <v>0</v>
      </c>
      <c r="P66" s="12">
        <f>+Precios!O64*Precios!O$3</f>
        <v>0</v>
      </c>
      <c r="Q66" s="12">
        <f>+Precios!P64*Precios!P$3</f>
        <v>0</v>
      </c>
      <c r="R66" s="12">
        <f>+Precios!Q64*Precios!Q$3</f>
        <v>0</v>
      </c>
      <c r="S66" s="12">
        <f>+Precios!R64*Precios!R$3</f>
        <v>0</v>
      </c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>
        <f t="shared" si="144"/>
        <v>0</v>
      </c>
      <c r="AP66" s="12"/>
      <c r="AQ66" s="12">
        <f>+AQ65</f>
        <v>0</v>
      </c>
      <c r="AR66" s="12">
        <f>+AR65</f>
        <v>0</v>
      </c>
      <c r="AS66" s="12">
        <f>+Precios!AR64*Precios!AR$3</f>
        <v>0</v>
      </c>
      <c r="AT66" s="12">
        <f>+Precios!AS64*Precios!AS$3</f>
        <v>0</v>
      </c>
      <c r="AU66" s="12">
        <f>+Precios!AT64*Precios!AT$3</f>
        <v>0</v>
      </c>
      <c r="AV66" s="12"/>
      <c r="AW66" s="12">
        <f>+Precios!AV64*Precios!AV$3</f>
        <v>0</v>
      </c>
      <c r="AX66" s="12">
        <f>+Precios!AW64*Precios!AW$3</f>
        <v>0</v>
      </c>
      <c r="AY66" s="12">
        <f>+Precios!AX64*Precios!AX$3</f>
        <v>0</v>
      </c>
      <c r="AZ66" s="12">
        <f>+Precios!AY64*Precios!AY$3</f>
        <v>0</v>
      </c>
      <c r="BA66" s="12">
        <f>+Precios!AZ64*Precios!AZ$3</f>
        <v>0</v>
      </c>
      <c r="BB66" s="12">
        <f>+Precios!BA64*Precios!BA$3</f>
        <v>0</v>
      </c>
      <c r="BC66" s="12">
        <f>+Precios!BB64*Precios!BB$3</f>
        <v>0</v>
      </c>
      <c r="BD66" s="12">
        <f>+Precios!BC64*Precios!BC$3</f>
        <v>0</v>
      </c>
      <c r="BE66" s="12">
        <f>+Precios!BD64*Precios!BD$3</f>
        <v>0</v>
      </c>
      <c r="BF66" s="12">
        <f>+Precios!BE64*Precios!BE$3</f>
        <v>0</v>
      </c>
      <c r="BG66" s="12">
        <f>+Precios!BF64*Precios!BF$3</f>
        <v>0</v>
      </c>
      <c r="BH66" s="12">
        <f>+Precios!BG64*Precios!BG$3</f>
        <v>0</v>
      </c>
      <c r="BI66" s="12">
        <f>+Precios!BH64*Precios!BH$3</f>
        <v>0</v>
      </c>
      <c r="BJ66" s="12">
        <f>+Precios!BI64*Precios!BI$3</f>
        <v>0</v>
      </c>
      <c r="BK66" s="12">
        <f>+Precios!BJ64*Precios!BJ$3</f>
        <v>0</v>
      </c>
      <c r="BL66" s="12">
        <f>+Precios!BK64*Precios!BK$3</f>
        <v>0</v>
      </c>
      <c r="BM66" s="12">
        <f>+Precios!BL64*Precios!BL$3</f>
        <v>0</v>
      </c>
    </row>
    <row r="67" spans="1:74" ht="15" thickBot="1">
      <c r="A67" s="5">
        <f t="shared" si="96"/>
        <v>0</v>
      </c>
      <c r="B67" s="15">
        <f>+Precios!A65</f>
        <v>46063</v>
      </c>
      <c r="C67" s="12">
        <f>+Precios!B65*Precios!B$3</f>
        <v>0</v>
      </c>
      <c r="D67" s="12">
        <f>+Precios!C65*Precios!C$3</f>
        <v>0</v>
      </c>
      <c r="E67" s="12">
        <f>+Precios!D65*Precios!D$3</f>
        <v>0</v>
      </c>
      <c r="F67" s="12">
        <f>+Precios!E65*Precios!E$3</f>
        <v>0</v>
      </c>
      <c r="G67" s="12">
        <f>+Precios!F65*Precios!F$3</f>
        <v>0</v>
      </c>
      <c r="H67" s="12">
        <f>+Precios!G65*Precios!G$3</f>
        <v>0</v>
      </c>
      <c r="I67" s="12">
        <f>+Precios!H65*Precios!H$3</f>
        <v>0</v>
      </c>
      <c r="J67" s="12">
        <f>+Precios!I65*Precios!I$3</f>
        <v>0</v>
      </c>
      <c r="K67" s="12">
        <f>+Precios!J65*Precios!J$3</f>
        <v>0</v>
      </c>
      <c r="L67" s="12">
        <f>+Precios!K65*Precios!K$3</f>
        <v>0</v>
      </c>
      <c r="M67" s="12">
        <f>+Precios!L65*Precios!L$3</f>
        <v>0</v>
      </c>
      <c r="N67" s="12">
        <f>+Precios!M65*Precios!M$3</f>
        <v>0</v>
      </c>
      <c r="O67" s="12">
        <f>+Precios!N65*Precios!N$3</f>
        <v>0</v>
      </c>
      <c r="P67" s="12">
        <f>+Precios!O65*Precios!O$3</f>
        <v>0</v>
      </c>
      <c r="Q67" s="12">
        <f>+Precios!P65*Precios!P$3</f>
        <v>0</v>
      </c>
      <c r="R67" s="12">
        <f>+Precios!Q65*Precios!Q$3</f>
        <v>0</v>
      </c>
      <c r="S67" s="12">
        <f>+Precios!R65*Precios!R$3</f>
        <v>0</v>
      </c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>
        <f t="shared" si="144"/>
        <v>0</v>
      </c>
      <c r="AP67" s="12"/>
      <c r="AQ67" s="12">
        <f t="shared" ref="AQ67:BA75" si="145">+AQ66</f>
        <v>0</v>
      </c>
      <c r="AR67" s="12">
        <f t="shared" si="145"/>
        <v>0</v>
      </c>
      <c r="AS67" s="12">
        <f>+Precios!AR65*Precios!AR$3</f>
        <v>0</v>
      </c>
      <c r="AT67" s="12">
        <f>+Precios!AS65*Precios!AS$3</f>
        <v>0</v>
      </c>
      <c r="AU67" s="12">
        <f>+Precios!AT65*Precios!AT$3</f>
        <v>0</v>
      </c>
      <c r="AV67" s="12"/>
      <c r="AW67" s="12">
        <f>+Precios!AV65*Precios!AV$3</f>
        <v>0</v>
      </c>
      <c r="AX67" s="12">
        <f>+Precios!AW65*Precios!AW$3</f>
        <v>0</v>
      </c>
      <c r="AY67" s="12">
        <f>+Precios!AX65*Precios!AX$3</f>
        <v>0</v>
      </c>
      <c r="AZ67" s="12">
        <f>+Precios!AY65*Precios!AY$3</f>
        <v>0</v>
      </c>
      <c r="BA67" s="12">
        <f>+Precios!AZ65*Precios!AZ$3</f>
        <v>0</v>
      </c>
      <c r="BB67" s="12">
        <f>+Precios!BA65*Precios!BA$3</f>
        <v>0</v>
      </c>
      <c r="BC67" s="12">
        <f>+Precios!BB65*Precios!BB$3</f>
        <v>0</v>
      </c>
      <c r="BD67" s="12">
        <f>+Precios!BC65*Precios!BC$3</f>
        <v>0</v>
      </c>
      <c r="BE67" s="12">
        <f>+Precios!BD65*Precios!BD$3</f>
        <v>0</v>
      </c>
      <c r="BF67" s="12">
        <f>+Precios!BE65*Precios!BE$3</f>
        <v>0</v>
      </c>
      <c r="BG67" s="12">
        <f>+Precios!BF65*Precios!BF$3</f>
        <v>0</v>
      </c>
      <c r="BH67" s="12">
        <f>+Precios!BG65*Precios!BG$3</f>
        <v>0</v>
      </c>
      <c r="BI67" s="12">
        <f>+Precios!BH65*Precios!BH$3</f>
        <v>0</v>
      </c>
      <c r="BJ67" s="12">
        <f>+Precios!BI65*Precios!BI$3</f>
        <v>0</v>
      </c>
      <c r="BK67" s="12">
        <f>+Precios!BJ65*Precios!BJ$3</f>
        <v>0</v>
      </c>
      <c r="BL67" s="12">
        <f>+Precios!BK65*Precios!BK$3</f>
        <v>0</v>
      </c>
      <c r="BM67" s="12">
        <f>+Precios!BL65*Precios!BL$3</f>
        <v>0</v>
      </c>
    </row>
    <row r="68" spans="1:74" ht="15" thickBot="1">
      <c r="A68" s="5">
        <f t="shared" si="96"/>
        <v>0</v>
      </c>
      <c r="B68" s="15">
        <f>+Precios!A66</f>
        <v>46064</v>
      </c>
      <c r="C68" s="12">
        <f>+Precios!B66*Precios!B$3</f>
        <v>0</v>
      </c>
      <c r="D68" s="12">
        <f>+Precios!C66*Precios!C$3</f>
        <v>0</v>
      </c>
      <c r="E68" s="12">
        <f>+Precios!D66*Precios!D$3</f>
        <v>0</v>
      </c>
      <c r="F68" s="12">
        <f>+Precios!E66*Precios!E$3</f>
        <v>0</v>
      </c>
      <c r="G68" s="12">
        <f>+Precios!F66*Precios!F$3</f>
        <v>0</v>
      </c>
      <c r="H68" s="12">
        <f>+Precios!G66*Precios!G$3</f>
        <v>0</v>
      </c>
      <c r="I68" s="12">
        <f>+Precios!H66*Precios!H$3</f>
        <v>0</v>
      </c>
      <c r="J68" s="12">
        <f>+Precios!I66*Precios!I$3</f>
        <v>0</v>
      </c>
      <c r="K68" s="12">
        <f>+Precios!J66*Precios!J$3</f>
        <v>0</v>
      </c>
      <c r="L68" s="12">
        <f>+Precios!K66*Precios!K$3</f>
        <v>0</v>
      </c>
      <c r="M68" s="12">
        <f>+Precios!L66*Precios!L$3</f>
        <v>0</v>
      </c>
      <c r="N68" s="12">
        <f>+Precios!M66*Precios!M$3</f>
        <v>0</v>
      </c>
      <c r="O68" s="12">
        <f>+Precios!N66*Precios!N$3</f>
        <v>0</v>
      </c>
      <c r="P68" s="12">
        <f>+Precios!O66*Precios!O$3</f>
        <v>0</v>
      </c>
      <c r="Q68" s="12">
        <f>+Precios!P66*Precios!P$3</f>
        <v>0</v>
      </c>
      <c r="R68" s="12">
        <f>+Precios!Q66*Precios!Q$3</f>
        <v>0</v>
      </c>
      <c r="S68" s="12">
        <f>+Precios!R66*Precios!R$3</f>
        <v>0</v>
      </c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>
        <f t="shared" si="144"/>
        <v>0</v>
      </c>
      <c r="AP68" s="12"/>
      <c r="AQ68" s="12">
        <f t="shared" si="145"/>
        <v>0</v>
      </c>
      <c r="AR68" s="12">
        <f t="shared" si="145"/>
        <v>0</v>
      </c>
      <c r="AS68" s="12">
        <f t="shared" si="145"/>
        <v>0</v>
      </c>
      <c r="AT68" s="12">
        <f>+Precios!AS66*Precios!AS$3</f>
        <v>0</v>
      </c>
      <c r="AU68" s="12">
        <f>+Precios!AT66*Precios!AT$3</f>
        <v>0</v>
      </c>
      <c r="AV68" s="12"/>
      <c r="AW68" s="12">
        <f>+Precios!AV66*Precios!AV$3</f>
        <v>0</v>
      </c>
      <c r="AX68" s="12">
        <f>+Precios!AW66*Precios!AW$3</f>
        <v>0</v>
      </c>
      <c r="AY68" s="12">
        <f>+Precios!AX66*Precios!AX$3</f>
        <v>0</v>
      </c>
      <c r="AZ68" s="12">
        <f>+Precios!AY66*Precios!AY$3</f>
        <v>0</v>
      </c>
      <c r="BA68" s="12">
        <f>+Precios!AZ66*Precios!AZ$3</f>
        <v>0</v>
      </c>
      <c r="BB68" s="12">
        <f>+Precios!BA66*Precios!BA$3</f>
        <v>0</v>
      </c>
      <c r="BC68" s="12">
        <f>+Precios!BB66*Precios!BB$3</f>
        <v>0</v>
      </c>
      <c r="BD68" s="12">
        <f>+Precios!BC66*Precios!BC$3</f>
        <v>0</v>
      </c>
      <c r="BE68" s="12">
        <f>+Precios!BD66*Precios!BD$3</f>
        <v>0</v>
      </c>
      <c r="BF68" s="12">
        <f>+Precios!BE66*Precios!BE$3</f>
        <v>0</v>
      </c>
      <c r="BG68" s="12">
        <f>+Precios!BF66*Precios!BF$3</f>
        <v>0</v>
      </c>
      <c r="BH68" s="12">
        <f>+Precios!BG66*Precios!BG$3</f>
        <v>0</v>
      </c>
      <c r="BI68" s="12">
        <f>+Precios!BH66*Precios!BH$3</f>
        <v>0</v>
      </c>
      <c r="BJ68" s="12">
        <f>+Precios!BI66*Precios!BI$3</f>
        <v>0</v>
      </c>
      <c r="BK68" s="12">
        <f>+Precios!BJ66*Precios!BJ$3</f>
        <v>0</v>
      </c>
      <c r="BL68" s="12">
        <f>+Precios!BK66*Precios!BK$3</f>
        <v>0</v>
      </c>
      <c r="BM68" s="12">
        <f>+Precios!BL66*Precios!BL$3</f>
        <v>0</v>
      </c>
    </row>
    <row r="69" spans="1:74" ht="15" thickBot="1">
      <c r="A69" s="5">
        <f t="shared" si="96"/>
        <v>0</v>
      </c>
      <c r="B69" s="15">
        <f>+Precios!A67</f>
        <v>46065</v>
      </c>
      <c r="C69" s="12">
        <f>+Precios!B67*Precios!B$3</f>
        <v>0</v>
      </c>
      <c r="D69" s="12">
        <f>+Precios!C67*Precios!C$3</f>
        <v>0</v>
      </c>
      <c r="E69" s="12">
        <f>+Precios!D67*Precios!D$3</f>
        <v>0</v>
      </c>
      <c r="F69" s="12">
        <f>+Precios!E67*Precios!E$3</f>
        <v>0</v>
      </c>
      <c r="G69" s="12">
        <f>+Precios!F67*Precios!F$3</f>
        <v>0</v>
      </c>
      <c r="H69" s="12">
        <f>+Precios!G67*Precios!G$3</f>
        <v>0</v>
      </c>
      <c r="I69" s="12">
        <f>+Precios!H67*Precios!H$3</f>
        <v>0</v>
      </c>
      <c r="J69" s="12">
        <f>+Precios!I67*Precios!I$3</f>
        <v>0</v>
      </c>
      <c r="K69" s="12">
        <f>+Precios!J67*Precios!J$3</f>
        <v>0</v>
      </c>
      <c r="L69" s="12">
        <f>+Precios!K67*Precios!K$3</f>
        <v>0</v>
      </c>
      <c r="M69" s="12">
        <f>+Precios!L67*Precios!L$3</f>
        <v>0</v>
      </c>
      <c r="N69" s="12">
        <f>+Precios!M67*Precios!M$3</f>
        <v>0</v>
      </c>
      <c r="O69" s="12">
        <f>+Precios!N67*Precios!N$3</f>
        <v>0</v>
      </c>
      <c r="P69" s="12">
        <f>+Precios!O67*Precios!O$3</f>
        <v>0</v>
      </c>
      <c r="Q69" s="12">
        <f>+Precios!P67*Precios!P$3</f>
        <v>0</v>
      </c>
      <c r="R69" s="12">
        <f>+Precios!Q67*Precios!Q$3</f>
        <v>0</v>
      </c>
      <c r="S69" s="12">
        <f>+Precios!R67*Precios!R$3</f>
        <v>0</v>
      </c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>
        <f t="shared" si="144"/>
        <v>0</v>
      </c>
      <c r="AP69" s="12"/>
      <c r="AQ69" s="12">
        <f t="shared" si="145"/>
        <v>0</v>
      </c>
      <c r="AR69" s="12"/>
      <c r="AS69" s="12"/>
      <c r="AT69" s="12">
        <f t="shared" si="145"/>
        <v>0</v>
      </c>
      <c r="AU69" s="12">
        <f>+Precios!AT67*Precios!AT$3</f>
        <v>0</v>
      </c>
      <c r="AV69" s="12"/>
      <c r="AW69" s="12">
        <f>+Precios!AV67*Precios!AV$3</f>
        <v>0</v>
      </c>
      <c r="AX69" s="12">
        <f>+Precios!AW67*Precios!AW$3</f>
        <v>0</v>
      </c>
      <c r="AY69" s="12">
        <f>+Precios!AX67*Precios!AX$3</f>
        <v>0</v>
      </c>
      <c r="AZ69" s="12">
        <f>+Precios!AY67*Precios!AY$3</f>
        <v>0</v>
      </c>
      <c r="BA69" s="12">
        <f>+Precios!AZ67*Precios!AZ$3</f>
        <v>0</v>
      </c>
      <c r="BB69" s="12">
        <f>+Precios!BA67*Precios!BA$3</f>
        <v>0</v>
      </c>
      <c r="BC69" s="12">
        <f>+Precios!BB67*Precios!BB$3</f>
        <v>0</v>
      </c>
      <c r="BD69" s="12">
        <f>+Precios!BC67*Precios!BC$3</f>
        <v>0</v>
      </c>
      <c r="BE69" s="12">
        <f>+Precios!BD67*Precios!BD$3</f>
        <v>0</v>
      </c>
      <c r="BF69" s="12">
        <f>+Precios!BE67*Precios!BE$3</f>
        <v>0</v>
      </c>
      <c r="BG69" s="12">
        <f>+Precios!BF67*Precios!BF$3</f>
        <v>0</v>
      </c>
      <c r="BH69" s="12">
        <f>+Precios!BG67*Precios!BG$3</f>
        <v>0</v>
      </c>
      <c r="BI69" s="12">
        <f>+Precios!BH67*Precios!BH$3</f>
        <v>0</v>
      </c>
      <c r="BJ69" s="12">
        <f>+Precios!BI67*Precios!BI$3</f>
        <v>0</v>
      </c>
      <c r="BK69" s="12">
        <f>+Precios!BJ67*Precios!BJ$3</f>
        <v>0</v>
      </c>
      <c r="BL69" s="12">
        <f>+Precios!BK67*Precios!BK$3</f>
        <v>0</v>
      </c>
      <c r="BM69" s="12">
        <f>+Precios!BL67*Precios!BL$3</f>
        <v>0</v>
      </c>
    </row>
    <row r="70" spans="1:74" ht="15" thickBot="1">
      <c r="A70" s="5">
        <f t="shared" si="96"/>
        <v>0</v>
      </c>
      <c r="B70" s="15">
        <f>+Precios!A68</f>
        <v>46066</v>
      </c>
      <c r="C70" s="12">
        <f>+Precios!B68*Precios!B$3</f>
        <v>0</v>
      </c>
      <c r="D70" s="12">
        <f>+Precios!C68*Precios!C$3</f>
        <v>0</v>
      </c>
      <c r="E70" s="12">
        <f>+Precios!D68*Precios!D$3</f>
        <v>0</v>
      </c>
      <c r="F70" s="12">
        <f>+Precios!E68*Precios!E$3</f>
        <v>0</v>
      </c>
      <c r="G70" s="12">
        <f>+Precios!F68*Precios!F$3</f>
        <v>0</v>
      </c>
      <c r="H70" s="12">
        <f>+Precios!G68*Precios!G$3</f>
        <v>0</v>
      </c>
      <c r="I70" s="12">
        <f>+Precios!H68*Precios!H$3</f>
        <v>0</v>
      </c>
      <c r="J70" s="12">
        <f>+Precios!I68*Precios!I$3</f>
        <v>0</v>
      </c>
      <c r="K70" s="12">
        <f>+Precios!J68*Precios!J$3</f>
        <v>0</v>
      </c>
      <c r="L70" s="12">
        <f>+Precios!K68*Precios!K$3</f>
        <v>0</v>
      </c>
      <c r="M70" s="12">
        <f>+Precios!L68*Precios!L$3</f>
        <v>0</v>
      </c>
      <c r="N70" s="12">
        <f>+Precios!M68*Precios!M$3</f>
        <v>0</v>
      </c>
      <c r="O70" s="12">
        <f>+Precios!N68*Precios!N$3</f>
        <v>0</v>
      </c>
      <c r="P70" s="12">
        <f>+Precios!O68*Precios!O$3</f>
        <v>0</v>
      </c>
      <c r="Q70" s="12">
        <f>+Precios!P68*Precios!P$3</f>
        <v>0</v>
      </c>
      <c r="R70" s="12">
        <f>+Precios!Q68*Precios!Q$3</f>
        <v>0</v>
      </c>
      <c r="S70" s="12">
        <f>+Precios!R68*Precios!R$3</f>
        <v>0</v>
      </c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>
        <f t="shared" si="144"/>
        <v>0</v>
      </c>
      <c r="AP70" s="12"/>
      <c r="AQ70" s="12">
        <f t="shared" si="145"/>
        <v>0</v>
      </c>
      <c r="AR70" s="12"/>
      <c r="AS70" s="12"/>
      <c r="AT70" s="12">
        <f t="shared" si="145"/>
        <v>0</v>
      </c>
      <c r="AU70" s="12">
        <f t="shared" si="145"/>
        <v>0</v>
      </c>
      <c r="AV70" s="12"/>
      <c r="AW70" s="12">
        <f>+Precios!AV68*Precios!AV$3</f>
        <v>0</v>
      </c>
      <c r="AX70" s="12">
        <f>+Precios!AW68*Precios!AW$3</f>
        <v>0</v>
      </c>
      <c r="AY70" s="12">
        <f>+Precios!AX68*Precios!AX$3</f>
        <v>0</v>
      </c>
      <c r="AZ70" s="12">
        <f>+Precios!AY68*Precios!AY$3</f>
        <v>0</v>
      </c>
      <c r="BA70" s="12">
        <f>+Precios!AZ68*Precios!AZ$3</f>
        <v>0</v>
      </c>
      <c r="BB70" s="12">
        <f>+Precios!BA68*Precios!BA$3</f>
        <v>0</v>
      </c>
      <c r="BC70" s="12">
        <f>+Precios!BB68*Precios!BB$3</f>
        <v>0</v>
      </c>
      <c r="BD70" s="12">
        <f>+Precios!BC68*Precios!BC$3</f>
        <v>0</v>
      </c>
      <c r="BE70" s="12">
        <f>+Precios!BD68*Precios!BD$3</f>
        <v>0</v>
      </c>
      <c r="BF70" s="12">
        <f>+Precios!BE68*Precios!BE$3</f>
        <v>0</v>
      </c>
      <c r="BG70" s="12">
        <f>+Precios!BF68*Precios!BF$3</f>
        <v>0</v>
      </c>
      <c r="BH70" s="12">
        <f>+Precios!BG68*Precios!BG$3</f>
        <v>0</v>
      </c>
      <c r="BI70" s="12">
        <f>+Precios!BH68*Precios!BH$3</f>
        <v>0</v>
      </c>
      <c r="BJ70" s="12">
        <f>+Precios!BI68*Precios!BI$3</f>
        <v>0</v>
      </c>
      <c r="BK70" s="12">
        <f>+Precios!BJ68*Precios!BJ$3</f>
        <v>0</v>
      </c>
      <c r="BL70" s="12">
        <f>+Precios!BK68*Precios!BK$3</f>
        <v>0</v>
      </c>
      <c r="BM70" s="12">
        <f>+Precios!BL68*Precios!BL$3</f>
        <v>0</v>
      </c>
    </row>
    <row r="71" spans="1:74" ht="15" thickBot="1">
      <c r="A71" s="5">
        <f t="shared" ref="A71:A102" si="146">+SUM(C71:XFD71)</f>
        <v>0</v>
      </c>
      <c r="B71" s="15">
        <f>+Precios!A69</f>
        <v>46069</v>
      </c>
      <c r="C71" s="12">
        <f>+Precios!B69*Precios!B$3</f>
        <v>0</v>
      </c>
      <c r="D71" s="12">
        <f>+Precios!C69*Precios!C$3</f>
        <v>0</v>
      </c>
      <c r="E71" s="12">
        <f>+Precios!D69*Precios!D$3</f>
        <v>0</v>
      </c>
      <c r="F71" s="12">
        <f>+Precios!E69*Precios!E$3</f>
        <v>0</v>
      </c>
      <c r="G71" s="12">
        <f>+Precios!F69*Precios!F$3</f>
        <v>0</v>
      </c>
      <c r="H71" s="12">
        <f>+Precios!G69*Precios!G$3</f>
        <v>0</v>
      </c>
      <c r="I71" s="12">
        <f>+Precios!H69*Precios!H$3</f>
        <v>0</v>
      </c>
      <c r="J71" s="12">
        <f>+Precios!I69*Precios!I$3</f>
        <v>0</v>
      </c>
      <c r="K71" s="12">
        <f>+Precios!J69*Precios!J$3</f>
        <v>0</v>
      </c>
      <c r="L71" s="12">
        <f>+Precios!K69*Precios!K$3</f>
        <v>0</v>
      </c>
      <c r="M71" s="12">
        <f>+Precios!L69*Precios!L$3</f>
        <v>0</v>
      </c>
      <c r="N71" s="12">
        <f>+Precios!M69*Precios!M$3</f>
        <v>0</v>
      </c>
      <c r="O71" s="12">
        <f>+Precios!N69*Precios!N$3</f>
        <v>0</v>
      </c>
      <c r="P71" s="12">
        <f>+Precios!O69*Precios!O$3</f>
        <v>0</v>
      </c>
      <c r="Q71" s="12">
        <f>+Precios!P69*Precios!P$3</f>
        <v>0</v>
      </c>
      <c r="R71" s="12">
        <f>+Precios!Q69*Precios!Q$3</f>
        <v>0</v>
      </c>
      <c r="S71" s="12">
        <f>+Precios!R69*Precios!R$3</f>
        <v>0</v>
      </c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>
        <f t="shared" si="144"/>
        <v>0</v>
      </c>
      <c r="AP71" s="12"/>
      <c r="AQ71" s="12">
        <f t="shared" ref="AQ71" si="147">+AQ70</f>
        <v>0</v>
      </c>
      <c r="AR71" s="12"/>
      <c r="AS71" s="12"/>
      <c r="AT71" s="12">
        <f t="shared" ref="AT71:AU71" si="148">+AT70</f>
        <v>0</v>
      </c>
      <c r="AU71" s="12">
        <f t="shared" si="148"/>
        <v>0</v>
      </c>
      <c r="AV71" s="12"/>
      <c r="AW71" s="12">
        <f>+Precios!AV69*Precios!AV$3</f>
        <v>0</v>
      </c>
      <c r="AX71" s="12">
        <f>+Precios!AW69*Precios!AW$3</f>
        <v>0</v>
      </c>
      <c r="AY71" s="12">
        <f>+Precios!AX69*Precios!AX$3</f>
        <v>0</v>
      </c>
      <c r="AZ71" s="12">
        <f>+Precios!AY69*Precios!AY$3</f>
        <v>0</v>
      </c>
      <c r="BA71" s="12">
        <f>+Precios!AZ69*Precios!AZ$3</f>
        <v>0</v>
      </c>
      <c r="BB71" s="12">
        <f>+Precios!BA69*Precios!BA$3</f>
        <v>0</v>
      </c>
      <c r="BC71" s="12">
        <f>+Precios!BB69*Precios!BB$3</f>
        <v>0</v>
      </c>
      <c r="BD71" s="12">
        <f>+Precios!BC69*Precios!BC$3</f>
        <v>0</v>
      </c>
      <c r="BE71" s="12">
        <f>+Precios!BD69*Precios!BD$3</f>
        <v>0</v>
      </c>
      <c r="BF71" s="12">
        <f>+Precios!BE69*Precios!BE$3</f>
        <v>0</v>
      </c>
      <c r="BG71" s="12">
        <f>+Precios!BF69*Precios!BF$3</f>
        <v>0</v>
      </c>
      <c r="BH71" s="12">
        <f>+Precios!BG69*Precios!BG$3</f>
        <v>0</v>
      </c>
      <c r="BI71" s="12">
        <f>+Precios!BH69*Precios!BH$3</f>
        <v>0</v>
      </c>
      <c r="BJ71" s="12">
        <f>+Precios!BI69*Precios!BI$3</f>
        <v>0</v>
      </c>
      <c r="BK71" s="12">
        <f>+Precios!BJ69*Precios!BJ$3</f>
        <v>0</v>
      </c>
      <c r="BL71" s="12">
        <f>+Precios!BK69*Precios!BK$3</f>
        <v>0</v>
      </c>
      <c r="BM71" s="12">
        <f>+Precios!BL69*Precios!BL$3</f>
        <v>0</v>
      </c>
    </row>
    <row r="72" spans="1:74" ht="15" thickBot="1">
      <c r="A72" s="5">
        <f t="shared" si="146"/>
        <v>50000</v>
      </c>
      <c r="B72" s="15">
        <f>+Precios!A70</f>
        <v>46070</v>
      </c>
      <c r="C72" s="12">
        <f>+Precios!B70*Precios!B$3</f>
        <v>0</v>
      </c>
      <c r="D72" s="12">
        <f>+Precios!C70*Precios!C$3</f>
        <v>0</v>
      </c>
      <c r="E72" s="12">
        <f>+Precios!D70*Precios!D$3</f>
        <v>0</v>
      </c>
      <c r="F72" s="12">
        <f>+Precios!E70*Precios!E$3</f>
        <v>0</v>
      </c>
      <c r="G72" s="12">
        <f>+Precios!F70*Precios!F$3</f>
        <v>0</v>
      </c>
      <c r="H72" s="12">
        <f>+Precios!G70*Precios!G$3</f>
        <v>0</v>
      </c>
      <c r="I72" s="12">
        <f>+Precios!H70*Precios!H$3</f>
        <v>0</v>
      </c>
      <c r="J72" s="12">
        <f>+Precios!I70*Precios!I$3</f>
        <v>0</v>
      </c>
      <c r="K72" s="12">
        <f>+Precios!J70*Precios!J$3</f>
        <v>0</v>
      </c>
      <c r="L72" s="12">
        <f>+Precios!K70*Precios!K$3</f>
        <v>0</v>
      </c>
      <c r="M72" s="12">
        <f>+Precios!L70*Precios!L$3</f>
        <v>0</v>
      </c>
      <c r="N72" s="12">
        <f>+Precios!M70*Precios!M$3</f>
        <v>0</v>
      </c>
      <c r="O72" s="12">
        <f>+Precios!N70*Precios!N$3</f>
        <v>0</v>
      </c>
      <c r="P72" s="12">
        <f>+Precios!O70*Precios!O$3</f>
        <v>0</v>
      </c>
      <c r="Q72" s="12">
        <f>+Precios!P70*Precios!P$3</f>
        <v>0</v>
      </c>
      <c r="R72" s="12">
        <f>+Precios!Q70*Precios!Q$3</f>
        <v>0</v>
      </c>
      <c r="S72" s="12">
        <f>+Precios!R70*Precios!R$3</f>
        <v>0</v>
      </c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>
        <f t="shared" si="144"/>
        <v>0</v>
      </c>
      <c r="AP72" s="12"/>
      <c r="AQ72" s="12">
        <f t="shared" ref="AQ72" si="149">+AQ71</f>
        <v>0</v>
      </c>
      <c r="AR72" s="12"/>
      <c r="AS72" s="12"/>
      <c r="AT72" s="12">
        <f t="shared" ref="AT72:AU72" si="150">+AT71</f>
        <v>0</v>
      </c>
      <c r="AU72" s="12">
        <f t="shared" si="150"/>
        <v>0</v>
      </c>
      <c r="AV72" s="31">
        <v>50000</v>
      </c>
      <c r="AW72" s="12">
        <f>+Precios!AV70*Precios!AV$3</f>
        <v>0</v>
      </c>
      <c r="AX72" s="12">
        <f>+Precios!AW70*Precios!AW$3</f>
        <v>0</v>
      </c>
      <c r="AY72" s="12">
        <f>+Precios!AX70*Precios!AX$3</f>
        <v>0</v>
      </c>
      <c r="AZ72" s="12">
        <f>+Precios!AY70*Precios!AY$3</f>
        <v>0</v>
      </c>
      <c r="BA72" s="12">
        <f>+Precios!AZ70*Precios!AZ$3</f>
        <v>0</v>
      </c>
      <c r="BB72" s="12">
        <f>+Precios!BA70*Precios!BA$3</f>
        <v>0</v>
      </c>
      <c r="BC72" s="12">
        <f>+Precios!BB70*Precios!BB$3</f>
        <v>0</v>
      </c>
      <c r="BD72" s="12">
        <f>+Precios!BC70*Precios!BC$3</f>
        <v>0</v>
      </c>
      <c r="BE72" s="12">
        <f>+Precios!BD70*Precios!BD$3</f>
        <v>0</v>
      </c>
      <c r="BF72" s="12">
        <f>+Precios!BE70*Precios!BE$3</f>
        <v>0</v>
      </c>
      <c r="BG72" s="12">
        <f>+Precios!BF70*Precios!BF$3</f>
        <v>0</v>
      </c>
      <c r="BH72" s="12">
        <f>+Precios!BG70*Precios!BG$3</f>
        <v>0</v>
      </c>
      <c r="BI72" s="12">
        <f>+Precios!BH70*Precios!BH$3</f>
        <v>0</v>
      </c>
      <c r="BJ72" s="12">
        <f>+Precios!BI70*Precios!BI$3</f>
        <v>0</v>
      </c>
      <c r="BK72" s="12">
        <f>+Precios!BJ70*Precios!BJ$3</f>
        <v>0</v>
      </c>
      <c r="BL72" s="12">
        <f>+Precios!BK70*Precios!BK$3</f>
        <v>0</v>
      </c>
      <c r="BM72" s="12">
        <f>+Precios!BL70*Precios!BL$3</f>
        <v>0</v>
      </c>
    </row>
    <row r="73" spans="1:74" ht="15" thickBot="1">
      <c r="A73" s="5">
        <f t="shared" si="146"/>
        <v>50000</v>
      </c>
      <c r="B73" s="15">
        <f>+Precios!A71</f>
        <v>46071</v>
      </c>
      <c r="C73" s="12">
        <f>+Precios!B71*Precios!B$3</f>
        <v>0</v>
      </c>
      <c r="D73" s="12">
        <f>+Precios!C71*Precios!C$3</f>
        <v>0</v>
      </c>
      <c r="E73" s="12">
        <f>+Precios!D71*Precios!D$3</f>
        <v>0</v>
      </c>
      <c r="F73" s="12">
        <f>+Precios!E71*Precios!E$3</f>
        <v>0</v>
      </c>
      <c r="G73" s="12">
        <f>+Precios!F71*Precios!F$3</f>
        <v>0</v>
      </c>
      <c r="H73" s="12">
        <f>+Precios!G71*Precios!G$3</f>
        <v>0</v>
      </c>
      <c r="I73" s="12">
        <f>+Precios!H71*Precios!H$3</f>
        <v>0</v>
      </c>
      <c r="J73" s="12">
        <f>+Precios!I71*Precios!I$3</f>
        <v>0</v>
      </c>
      <c r="K73" s="12">
        <f>+Precios!J71*Precios!J$3</f>
        <v>0</v>
      </c>
      <c r="L73" s="12">
        <f>+Precios!K71*Precios!K$3</f>
        <v>0</v>
      </c>
      <c r="M73" s="12">
        <f>+Precios!L71*Precios!L$3</f>
        <v>0</v>
      </c>
      <c r="N73" s="12">
        <f>+Precios!M71*Precios!M$3</f>
        <v>0</v>
      </c>
      <c r="O73" s="12">
        <f>+Precios!N71*Precios!N$3</f>
        <v>0</v>
      </c>
      <c r="P73" s="12">
        <f>+Precios!O71*Precios!O$3</f>
        <v>0</v>
      </c>
      <c r="Q73" s="12">
        <f>+Precios!P71*Precios!P$3</f>
        <v>0</v>
      </c>
      <c r="R73" s="12">
        <f>+Precios!Q71*Precios!Q$3</f>
        <v>0</v>
      </c>
      <c r="S73" s="12">
        <f>+Precios!R71*Precios!R$3</f>
        <v>0</v>
      </c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>
        <f t="shared" si="144"/>
        <v>0</v>
      </c>
      <c r="AP73" s="12"/>
      <c r="AQ73" s="12"/>
      <c r="AR73" s="12"/>
      <c r="AS73" s="12"/>
      <c r="AT73" s="12"/>
      <c r="AU73" s="12">
        <f t="shared" ref="AU73" si="151">+AU72</f>
        <v>0</v>
      </c>
      <c r="AV73" s="31">
        <f>+AV72</f>
        <v>50000</v>
      </c>
      <c r="AW73" s="12">
        <f>+Precios!AV71*Precios!AV$3</f>
        <v>0</v>
      </c>
      <c r="AX73" s="12">
        <f>+Precios!AW71*Precios!AW$3</f>
        <v>0</v>
      </c>
      <c r="AY73" s="12">
        <f>+Precios!AX71*Precios!AX$3</f>
        <v>0</v>
      </c>
      <c r="AZ73" s="12">
        <f>+Precios!AY71*Precios!AY$3</f>
        <v>0</v>
      </c>
      <c r="BA73" s="12">
        <f>+Precios!AZ71*Precios!AZ$3</f>
        <v>0</v>
      </c>
      <c r="BB73" s="12">
        <f>+Precios!BA71*Precios!BA$3</f>
        <v>0</v>
      </c>
      <c r="BC73" s="12">
        <f>+Precios!BB71*Precios!BB$3</f>
        <v>0</v>
      </c>
      <c r="BD73" s="12">
        <f>+Precios!BC71*Precios!BC$3</f>
        <v>0</v>
      </c>
      <c r="BE73" s="12">
        <f>+Precios!BD71*Precios!BD$3</f>
        <v>0</v>
      </c>
      <c r="BF73" s="12">
        <f>+Precios!BE71*Precios!BE$3</f>
        <v>0</v>
      </c>
      <c r="BG73" s="12">
        <f>+Precios!BF71*Precios!BF$3</f>
        <v>0</v>
      </c>
      <c r="BH73" s="12">
        <f>+Precios!BG71*Precios!BG$3</f>
        <v>0</v>
      </c>
      <c r="BI73" s="12">
        <f>+Precios!BH71*Precios!BH$3</f>
        <v>0</v>
      </c>
      <c r="BJ73" s="12">
        <f>+Precios!BI71*Precios!BI$3</f>
        <v>0</v>
      </c>
      <c r="BK73" s="12">
        <f>+Precios!BJ71*Precios!BJ$3</f>
        <v>0</v>
      </c>
      <c r="BL73" s="12">
        <f>+Precios!BK71*Precios!BK$3</f>
        <v>0</v>
      </c>
      <c r="BM73" s="12">
        <f>+Precios!BL71*Precios!BL$3</f>
        <v>0</v>
      </c>
    </row>
    <row r="74" spans="1:74" ht="15" thickBot="1">
      <c r="A74" s="5">
        <f t="shared" si="146"/>
        <v>50000</v>
      </c>
      <c r="B74" s="15">
        <f>+Precios!A72</f>
        <v>46072</v>
      </c>
      <c r="C74" s="12">
        <f>+Precios!B72*Precios!B$3</f>
        <v>0</v>
      </c>
      <c r="D74" s="12">
        <f>+Precios!C72*Precios!C$3</f>
        <v>0</v>
      </c>
      <c r="E74" s="12">
        <f>+Precios!D72*Precios!D$3</f>
        <v>0</v>
      </c>
      <c r="F74" s="12">
        <f>+Precios!E72*Precios!E$3</f>
        <v>0</v>
      </c>
      <c r="G74" s="12">
        <f>+Precios!F72*Precios!F$3</f>
        <v>0</v>
      </c>
      <c r="H74" s="12">
        <f>+Precios!G72*Precios!G$3</f>
        <v>0</v>
      </c>
      <c r="I74" s="12">
        <f>+Precios!H72*Precios!H$3</f>
        <v>0</v>
      </c>
      <c r="J74" s="12">
        <f>+Precios!I72*Precios!I$3</f>
        <v>0</v>
      </c>
      <c r="K74" s="12">
        <f>+Precios!J72*Precios!J$3</f>
        <v>0</v>
      </c>
      <c r="L74" s="12">
        <f>+Precios!K72*Precios!K$3</f>
        <v>0</v>
      </c>
      <c r="M74" s="12">
        <f>+Precios!L72*Precios!L$3</f>
        <v>0</v>
      </c>
      <c r="N74" s="12">
        <f>+Precios!M72*Precios!M$3</f>
        <v>0</v>
      </c>
      <c r="O74" s="12">
        <f>+Precios!N72*Precios!N$3</f>
        <v>0</v>
      </c>
      <c r="P74" s="12">
        <f>+Precios!O72*Precios!O$3</f>
        <v>0</v>
      </c>
      <c r="Q74" s="12">
        <f>+Precios!P72*Precios!P$3</f>
        <v>0</v>
      </c>
      <c r="R74" s="12">
        <f>+Precios!Q72*Precios!Q$3</f>
        <v>0</v>
      </c>
      <c r="S74" s="12">
        <f>+Precios!R72*Precios!R$3</f>
        <v>0</v>
      </c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>
        <f t="shared" si="144"/>
        <v>0</v>
      </c>
      <c r="AP74" s="12"/>
      <c r="AQ74" s="12"/>
      <c r="AR74" s="12"/>
      <c r="AS74" s="12"/>
      <c r="AT74" s="12"/>
      <c r="AU74" s="12">
        <f t="shared" ref="AU74:AV74" si="152">+AU73</f>
        <v>0</v>
      </c>
      <c r="AV74" s="31">
        <f t="shared" si="152"/>
        <v>50000</v>
      </c>
      <c r="AW74" s="12">
        <f t="shared" si="145"/>
        <v>0</v>
      </c>
      <c r="AX74" s="12">
        <f t="shared" si="145"/>
        <v>0</v>
      </c>
      <c r="AY74" s="12">
        <f t="shared" si="145"/>
        <v>0</v>
      </c>
      <c r="AZ74" s="12">
        <f>+Precios!AY72*Precios!AY$3</f>
        <v>0</v>
      </c>
      <c r="BA74" s="12">
        <f>+Precios!AZ72*Precios!AZ$3</f>
        <v>0</v>
      </c>
      <c r="BB74" s="12">
        <f>+Precios!BA72*Precios!BA$3</f>
        <v>0</v>
      </c>
      <c r="BC74" s="12">
        <f>+Precios!BB72*Precios!BB$3</f>
        <v>0</v>
      </c>
      <c r="BD74" s="12">
        <f>+Precios!BC72*Precios!BC$3</f>
        <v>0</v>
      </c>
      <c r="BE74" s="12">
        <f>+Precios!BD72*Precios!BD$3</f>
        <v>0</v>
      </c>
      <c r="BF74" s="12">
        <f>+Precios!BE72*Precios!BE$3</f>
        <v>0</v>
      </c>
      <c r="BG74" s="12">
        <f>+Precios!BF72*Precios!BF$3</f>
        <v>0</v>
      </c>
      <c r="BH74" s="12">
        <f>+Precios!BG72*Precios!BG$3</f>
        <v>0</v>
      </c>
      <c r="BI74" s="12">
        <f>+Precios!BH72*Precios!BH$3</f>
        <v>0</v>
      </c>
      <c r="BJ74" s="12">
        <f>+Precios!BI72*Precios!BI$3</f>
        <v>0</v>
      </c>
      <c r="BK74" s="12">
        <f>+Precios!BJ72*Precios!BJ$3</f>
        <v>0</v>
      </c>
      <c r="BL74" s="12">
        <f>+Precios!BK72*Precios!BK$3</f>
        <v>0</v>
      </c>
      <c r="BM74" s="12">
        <f>+Precios!BL72*Precios!BL$3</f>
        <v>0</v>
      </c>
      <c r="BN74" s="35"/>
      <c r="BO74" s="35"/>
      <c r="BP74" s="35"/>
      <c r="BQ74" s="35"/>
      <c r="BR74" s="35"/>
      <c r="BS74" s="35"/>
      <c r="BT74" s="35"/>
      <c r="BU74" s="35"/>
      <c r="BV74" s="35"/>
    </row>
    <row r="75" spans="1:74" ht="15" thickBot="1">
      <c r="A75" s="5">
        <f t="shared" si="146"/>
        <v>50000</v>
      </c>
      <c r="B75" s="15">
        <f>+Precios!A73</f>
        <v>46073</v>
      </c>
      <c r="C75" s="12">
        <f>+Precios!B73*Precios!B$3</f>
        <v>0</v>
      </c>
      <c r="D75" s="12">
        <f>+Precios!C73*Precios!C$3</f>
        <v>0</v>
      </c>
      <c r="E75" s="12">
        <f>+Precios!D73*Precios!D$3</f>
        <v>0</v>
      </c>
      <c r="F75" s="12">
        <f>+Precios!E73*Precios!E$3</f>
        <v>0</v>
      </c>
      <c r="G75" s="12">
        <f>+Precios!F73*Precios!F$3</f>
        <v>0</v>
      </c>
      <c r="H75" s="12">
        <f>+Precios!G73*Precios!G$3</f>
        <v>0</v>
      </c>
      <c r="I75" s="12">
        <f>+Precios!H73*Precios!H$3</f>
        <v>0</v>
      </c>
      <c r="J75" s="12">
        <f>+Precios!I73*Precios!I$3</f>
        <v>0</v>
      </c>
      <c r="K75" s="12">
        <f>+Precios!J73*Precios!J$3</f>
        <v>0</v>
      </c>
      <c r="L75" s="12">
        <f>+Precios!K73*Precios!K$3</f>
        <v>0</v>
      </c>
      <c r="M75" s="12">
        <f>+Precios!L73*Precios!L$3</f>
        <v>0</v>
      </c>
      <c r="N75" s="12">
        <f>+Precios!M73*Precios!M$3</f>
        <v>0</v>
      </c>
      <c r="O75" s="12">
        <f>+Precios!N73*Precios!N$3</f>
        <v>0</v>
      </c>
      <c r="P75" s="12">
        <f>+Precios!O73*Precios!O$3</f>
        <v>0</v>
      </c>
      <c r="Q75" s="12">
        <f>+Precios!P73*Precios!P$3</f>
        <v>0</v>
      </c>
      <c r="R75" s="12">
        <f>+Precios!Q73*Precios!Q$3</f>
        <v>0</v>
      </c>
      <c r="S75" s="12">
        <f>+Precios!R73*Precios!R$3</f>
        <v>0</v>
      </c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>
        <f t="shared" si="144"/>
        <v>0</v>
      </c>
      <c r="AP75" s="12"/>
      <c r="AQ75" s="12"/>
      <c r="AR75" s="12"/>
      <c r="AS75" s="12"/>
      <c r="AT75" s="12"/>
      <c r="AU75" s="12">
        <f t="shared" ref="AU75:AV75" si="153">+AU74</f>
        <v>0</v>
      </c>
      <c r="AV75" s="31">
        <f t="shared" si="153"/>
        <v>50000</v>
      </c>
      <c r="AW75" s="12">
        <f t="shared" si="145"/>
        <v>0</v>
      </c>
      <c r="AX75" s="12">
        <f t="shared" si="145"/>
        <v>0</v>
      </c>
      <c r="AY75" s="12">
        <f t="shared" si="145"/>
        <v>0</v>
      </c>
      <c r="AZ75" s="12">
        <f t="shared" si="145"/>
        <v>0</v>
      </c>
      <c r="BA75" s="12">
        <f t="shared" si="145"/>
        <v>0</v>
      </c>
      <c r="BB75" s="12">
        <f>+Precios!BA73*Precios!BA$3</f>
        <v>0</v>
      </c>
      <c r="BC75" s="12">
        <f>+Precios!BB73*Precios!BB$3</f>
        <v>0</v>
      </c>
      <c r="BD75" s="12">
        <f>+Precios!BC73*Precios!BC$3</f>
        <v>0</v>
      </c>
      <c r="BE75" s="12">
        <f>+Precios!BD73*Precios!BD$3</f>
        <v>0</v>
      </c>
      <c r="BF75" s="12">
        <f>+Precios!BE73*Precios!BE$3</f>
        <v>0</v>
      </c>
      <c r="BG75" s="12">
        <f>+Precios!BF73*Precios!BF$3</f>
        <v>0</v>
      </c>
      <c r="BH75" s="12">
        <f>+Precios!BG73*Precios!BG$3</f>
        <v>0</v>
      </c>
      <c r="BI75" s="12">
        <f>+Precios!BH73*Precios!BH$3</f>
        <v>0</v>
      </c>
      <c r="BJ75" s="12">
        <f>+Precios!BI73*Precios!BI$3</f>
        <v>0</v>
      </c>
      <c r="BK75" s="12">
        <f>+Precios!BJ73*Precios!BJ$3</f>
        <v>0</v>
      </c>
      <c r="BL75" s="12">
        <f>+Precios!BK73*Precios!BK$3</f>
        <v>0</v>
      </c>
      <c r="BM75" s="12">
        <f>+Precios!BL73*Precios!BL$3</f>
        <v>0</v>
      </c>
      <c r="BN75" s="35"/>
      <c r="BO75" s="35"/>
      <c r="BP75" s="35"/>
      <c r="BQ75" s="35"/>
      <c r="BR75" s="35"/>
      <c r="BS75" s="35"/>
      <c r="BT75" s="35"/>
      <c r="BU75" s="35"/>
      <c r="BV75" s="35"/>
    </row>
    <row r="76" spans="1:74" ht="15" thickBot="1">
      <c r="A76" s="5">
        <f t="shared" si="146"/>
        <v>50000</v>
      </c>
      <c r="B76" s="15">
        <f>+Precios!A74</f>
        <v>46076</v>
      </c>
      <c r="C76" s="12">
        <f>+Precios!B74*Precios!B$3</f>
        <v>0</v>
      </c>
      <c r="D76" s="12">
        <f>+Precios!C74*Precios!C$3</f>
        <v>0</v>
      </c>
      <c r="E76" s="12">
        <f>+Precios!D74*Precios!D$3</f>
        <v>0</v>
      </c>
      <c r="F76" s="12">
        <f>+Precios!E74*Precios!E$3</f>
        <v>0</v>
      </c>
      <c r="G76" s="12">
        <f>+Precios!F74*Precios!F$3</f>
        <v>0</v>
      </c>
      <c r="H76" s="12">
        <f>+Precios!G74*Precios!G$3</f>
        <v>0</v>
      </c>
      <c r="I76" s="12">
        <f>+Precios!H74*Precios!H$3</f>
        <v>0</v>
      </c>
      <c r="J76" s="12">
        <f>+Precios!I74*Precios!I$3</f>
        <v>0</v>
      </c>
      <c r="K76" s="12">
        <f>+Precios!J74*Precios!J$3</f>
        <v>0</v>
      </c>
      <c r="L76" s="12">
        <f>+Precios!K74*Precios!K$3</f>
        <v>0</v>
      </c>
      <c r="M76" s="12">
        <f>+Precios!L74*Precios!L$3</f>
        <v>0</v>
      </c>
      <c r="N76" s="12">
        <f>+Precios!M74*Precios!M$3</f>
        <v>0</v>
      </c>
      <c r="O76" s="12">
        <f>+Precios!N74*Precios!N$3</f>
        <v>0</v>
      </c>
      <c r="P76" s="12">
        <f>+Precios!O74*Precios!O$3</f>
        <v>0</v>
      </c>
      <c r="Q76" s="12">
        <f>+Precios!P74*Precios!P$3</f>
        <v>0</v>
      </c>
      <c r="R76" s="12">
        <f>+Precios!Q74*Precios!Q$3</f>
        <v>0</v>
      </c>
      <c r="S76" s="12">
        <f>+Precios!R74*Precios!R$3</f>
        <v>0</v>
      </c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>
        <f t="shared" si="144"/>
        <v>0</v>
      </c>
      <c r="AP76" s="12"/>
      <c r="AQ76" s="12"/>
      <c r="AR76" s="12"/>
      <c r="AS76" s="12"/>
      <c r="AT76" s="12"/>
      <c r="AU76" s="12">
        <f t="shared" ref="AU76:BA76" si="154">+AU75</f>
        <v>0</v>
      </c>
      <c r="AV76" s="31">
        <f t="shared" si="154"/>
        <v>50000</v>
      </c>
      <c r="AW76" s="12">
        <f t="shared" si="154"/>
        <v>0</v>
      </c>
      <c r="AX76" s="12">
        <f t="shared" si="154"/>
        <v>0</v>
      </c>
      <c r="AY76" s="12">
        <f t="shared" si="154"/>
        <v>0</v>
      </c>
      <c r="AZ76" s="12">
        <f t="shared" si="154"/>
        <v>0</v>
      </c>
      <c r="BA76" s="12">
        <f t="shared" si="154"/>
        <v>0</v>
      </c>
      <c r="BB76" s="12">
        <f>+BB75</f>
        <v>0</v>
      </c>
      <c r="BC76" s="12">
        <f>+Precios!BB74*Precios!BB$3</f>
        <v>0</v>
      </c>
      <c r="BD76" s="12">
        <f>+Precios!BC74*Precios!BC$3</f>
        <v>0</v>
      </c>
      <c r="BE76" s="12">
        <f>+Precios!BD74*Precios!BD$3</f>
        <v>0</v>
      </c>
      <c r="BF76" s="12">
        <f>+Precios!BE74*Precios!BE$3</f>
        <v>0</v>
      </c>
      <c r="BG76" s="12">
        <f>+Precios!BF74*Precios!BF$3</f>
        <v>0</v>
      </c>
      <c r="BH76" s="12">
        <f>+Precios!BG74*Precios!BG$3</f>
        <v>0</v>
      </c>
      <c r="BI76" s="12">
        <f>+Precios!BH74*Precios!BH$3</f>
        <v>0</v>
      </c>
      <c r="BJ76" s="12">
        <f>+Precios!BI74*Precios!BI$3</f>
        <v>0</v>
      </c>
      <c r="BK76" s="12">
        <f>+Precios!BJ74*Precios!BJ$3</f>
        <v>0</v>
      </c>
      <c r="BL76" s="12">
        <f>+Precios!BK74*Precios!BK$3</f>
        <v>0</v>
      </c>
      <c r="BM76" s="12">
        <f>+Precios!BL74*Precios!BL$3</f>
        <v>0</v>
      </c>
      <c r="BN76" s="35"/>
      <c r="BO76" s="35"/>
      <c r="BP76" s="35"/>
      <c r="BQ76" s="35"/>
      <c r="BR76" s="35"/>
      <c r="BS76" s="35"/>
      <c r="BT76" s="35"/>
      <c r="BU76" s="35"/>
      <c r="BV76" s="35"/>
    </row>
    <row r="77" spans="1:74" ht="15" thickBot="1">
      <c r="A77" s="5">
        <f t="shared" si="146"/>
        <v>50000</v>
      </c>
      <c r="B77" s="15">
        <f>+Precios!A75</f>
        <v>46077</v>
      </c>
      <c r="C77" s="12">
        <f>+Precios!B75*Precios!B$3</f>
        <v>0</v>
      </c>
      <c r="D77" s="12">
        <f>+Precios!C75*Precios!C$3</f>
        <v>0</v>
      </c>
      <c r="E77" s="12">
        <f>+Precios!D75*Precios!D$3</f>
        <v>0</v>
      </c>
      <c r="F77" s="12">
        <f>+Precios!E75*Precios!E$3</f>
        <v>0</v>
      </c>
      <c r="G77" s="12">
        <f>+Precios!F75*Precios!F$3</f>
        <v>0</v>
      </c>
      <c r="H77" s="12">
        <f>+Precios!G75*Precios!G$3</f>
        <v>0</v>
      </c>
      <c r="I77" s="12">
        <f>+Precios!H75*Precios!H$3</f>
        <v>0</v>
      </c>
      <c r="J77" s="12">
        <f>+Precios!I75*Precios!I$3</f>
        <v>0</v>
      </c>
      <c r="K77" s="12">
        <f>+Precios!J75*Precios!J$3</f>
        <v>0</v>
      </c>
      <c r="L77" s="12">
        <f>+Precios!K75*Precios!K$3</f>
        <v>0</v>
      </c>
      <c r="M77" s="12">
        <f>+Precios!L75*Precios!L$3</f>
        <v>0</v>
      </c>
      <c r="N77" s="12">
        <f>+Precios!M75*Precios!M$3</f>
        <v>0</v>
      </c>
      <c r="O77" s="12">
        <f>+Precios!N75*Precios!N$3</f>
        <v>0</v>
      </c>
      <c r="P77" s="12">
        <f>+Precios!O75*Precios!O$3</f>
        <v>0</v>
      </c>
      <c r="Q77" s="12">
        <f>+Precios!P75*Precios!P$3</f>
        <v>0</v>
      </c>
      <c r="R77" s="12">
        <f>+Precios!Q75*Precios!Q$3</f>
        <v>0</v>
      </c>
      <c r="S77" s="12">
        <f>+Precios!R75*Precios!R$3</f>
        <v>0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>
        <f t="shared" si="144"/>
        <v>0</v>
      </c>
      <c r="AP77" s="12"/>
      <c r="AQ77" s="12"/>
      <c r="AR77" s="12"/>
      <c r="AS77" s="12"/>
      <c r="AT77" s="12"/>
      <c r="AU77" s="12">
        <f t="shared" ref="AU77:BA77" si="155">+AU76</f>
        <v>0</v>
      </c>
      <c r="AV77" s="31">
        <f t="shared" si="155"/>
        <v>50000</v>
      </c>
      <c r="AW77" s="12">
        <f t="shared" si="155"/>
        <v>0</v>
      </c>
      <c r="AX77" s="12">
        <f t="shared" si="155"/>
        <v>0</v>
      </c>
      <c r="AY77" s="12">
        <f t="shared" si="155"/>
        <v>0</v>
      </c>
      <c r="AZ77" s="12">
        <f t="shared" si="155"/>
        <v>0</v>
      </c>
      <c r="BA77" s="12">
        <f t="shared" si="155"/>
        <v>0</v>
      </c>
      <c r="BB77" s="12">
        <f t="shared" ref="AY77:BG87" si="156">+BB76</f>
        <v>0</v>
      </c>
      <c r="BC77" s="12">
        <f>+Precios!BB75*Precios!BB$3</f>
        <v>0</v>
      </c>
      <c r="BD77" s="12">
        <f>+Precios!BC75*Precios!BC$3</f>
        <v>0</v>
      </c>
      <c r="BE77" s="12">
        <f>+Precios!BD75*Precios!BD$3</f>
        <v>0</v>
      </c>
      <c r="BF77" s="12">
        <f>+Precios!BE75*Precios!BE$3</f>
        <v>0</v>
      </c>
      <c r="BG77" s="12">
        <f>+Precios!BF75*Precios!BF$3</f>
        <v>0</v>
      </c>
      <c r="BH77" s="12">
        <f>+Precios!BG75*Precios!BG$3</f>
        <v>0</v>
      </c>
      <c r="BI77" s="12">
        <f>+Precios!BH75*Precios!BH$3</f>
        <v>0</v>
      </c>
      <c r="BJ77" s="12">
        <f>+Precios!BI75*Precios!BI$3</f>
        <v>0</v>
      </c>
      <c r="BK77" s="12">
        <f>+Precios!BJ75*Precios!BJ$3</f>
        <v>0</v>
      </c>
      <c r="BL77" s="12">
        <f>+Precios!BK75*Precios!BK$3</f>
        <v>0</v>
      </c>
      <c r="BM77" s="12">
        <f>+Precios!BL75*Precios!BL$3</f>
        <v>0</v>
      </c>
      <c r="BN77" s="35"/>
      <c r="BO77" s="35"/>
      <c r="BP77" s="35"/>
      <c r="BQ77" s="35"/>
      <c r="BR77" s="35"/>
      <c r="BS77" s="35"/>
      <c r="BT77" s="35"/>
      <c r="BU77" s="35"/>
      <c r="BV77" s="35"/>
    </row>
    <row r="78" spans="1:74" ht="15" thickBot="1">
      <c r="A78" s="5">
        <f t="shared" si="146"/>
        <v>50000</v>
      </c>
      <c r="B78" s="15">
        <f>+Precios!A76</f>
        <v>46078</v>
      </c>
      <c r="C78" s="12">
        <f>+Precios!B76*Precios!B$3</f>
        <v>0</v>
      </c>
      <c r="D78" s="12">
        <f>+Precios!C76*Precios!C$3</f>
        <v>0</v>
      </c>
      <c r="E78" s="12">
        <f>+Precios!D76*Precios!D$3</f>
        <v>0</v>
      </c>
      <c r="F78" s="12">
        <f>+Precios!E76*Precios!E$3</f>
        <v>0</v>
      </c>
      <c r="G78" s="12">
        <f>+Precios!F76*Precios!F$3</f>
        <v>0</v>
      </c>
      <c r="H78" s="12">
        <f>+Precios!G76*Precios!G$3</f>
        <v>0</v>
      </c>
      <c r="I78" s="12">
        <f>+Precios!H76*Precios!H$3</f>
        <v>0</v>
      </c>
      <c r="J78" s="12">
        <f>+Precios!I76*Precios!I$3</f>
        <v>0</v>
      </c>
      <c r="K78" s="12">
        <f>+Precios!J76*Precios!J$3</f>
        <v>0</v>
      </c>
      <c r="L78" s="12">
        <f>+Precios!K76*Precios!K$3</f>
        <v>0</v>
      </c>
      <c r="M78" s="12">
        <f>+Precios!L76*Precios!L$3</f>
        <v>0</v>
      </c>
      <c r="N78" s="12">
        <f>+Precios!M76*Precios!M$3</f>
        <v>0</v>
      </c>
      <c r="O78" s="12">
        <f>+Precios!N76*Precios!N$3</f>
        <v>0</v>
      </c>
      <c r="P78" s="12">
        <f>+Precios!O76*Precios!O$3</f>
        <v>0</v>
      </c>
      <c r="Q78" s="12">
        <f>+Precios!P76*Precios!P$3</f>
        <v>0</v>
      </c>
      <c r="R78" s="12">
        <f>+Precios!Q76*Precios!Q$3</f>
        <v>0</v>
      </c>
      <c r="S78" s="12">
        <f>+Precios!R76*Precios!R$3</f>
        <v>0</v>
      </c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>
        <f t="shared" si="144"/>
        <v>0</v>
      </c>
      <c r="AP78" s="12"/>
      <c r="AQ78" s="12"/>
      <c r="AR78" s="12"/>
      <c r="AS78" s="12"/>
      <c r="AT78" s="12"/>
      <c r="AU78" s="12">
        <f t="shared" ref="AU78:BA78" si="157">+AU77</f>
        <v>0</v>
      </c>
      <c r="AV78" s="31">
        <f t="shared" si="157"/>
        <v>50000</v>
      </c>
      <c r="AW78" s="12">
        <f t="shared" si="157"/>
        <v>0</v>
      </c>
      <c r="AX78" s="12">
        <f t="shared" si="157"/>
        <v>0</v>
      </c>
      <c r="AY78" s="12">
        <f t="shared" si="157"/>
        <v>0</v>
      </c>
      <c r="AZ78" s="12">
        <f t="shared" si="157"/>
        <v>0</v>
      </c>
      <c r="BA78" s="12">
        <f t="shared" si="157"/>
        <v>0</v>
      </c>
      <c r="BB78" s="12">
        <f t="shared" si="156"/>
        <v>0</v>
      </c>
      <c r="BC78" s="12">
        <f>+Precios!BB76*Precios!BB$3</f>
        <v>0</v>
      </c>
      <c r="BD78" s="12">
        <f>+Precios!BC76*Precios!BC$3</f>
        <v>0</v>
      </c>
      <c r="BE78" s="12">
        <f>+Precios!BD76*Precios!BD$3</f>
        <v>0</v>
      </c>
      <c r="BF78" s="12">
        <f>+Precios!BE76*Precios!BE$3</f>
        <v>0</v>
      </c>
      <c r="BG78" s="12">
        <f>+Precios!BF76*Precios!BF$3</f>
        <v>0</v>
      </c>
      <c r="BH78" s="12">
        <f>+Precios!BG76*Precios!BG$3</f>
        <v>0</v>
      </c>
      <c r="BI78" s="12">
        <f>+Precios!BH76*Precios!BH$3</f>
        <v>0</v>
      </c>
      <c r="BJ78" s="12">
        <f>+Precios!BI76*Precios!BI$3</f>
        <v>0</v>
      </c>
      <c r="BK78" s="12">
        <f>+Precios!BJ76*Precios!BJ$3</f>
        <v>0</v>
      </c>
      <c r="BL78" s="12">
        <f>+Precios!BK76*Precios!BK$3</f>
        <v>0</v>
      </c>
      <c r="BM78" s="12">
        <f>+Precios!BL76*Precios!BL$3</f>
        <v>0</v>
      </c>
      <c r="BN78" s="35"/>
      <c r="BO78" s="35"/>
      <c r="BP78" s="35"/>
      <c r="BQ78" s="35"/>
      <c r="BR78" s="35"/>
      <c r="BS78" s="35"/>
      <c r="BT78" s="35"/>
      <c r="BU78" s="35"/>
      <c r="BV78" s="35"/>
    </row>
    <row r="79" spans="1:74" ht="15" thickBot="1">
      <c r="A79" s="5">
        <f t="shared" si="146"/>
        <v>50000</v>
      </c>
      <c r="B79" s="15">
        <f>+Precios!A77</f>
        <v>46079</v>
      </c>
      <c r="C79" s="12">
        <f>+Precios!B77*Precios!B$3</f>
        <v>0</v>
      </c>
      <c r="D79" s="12">
        <f>+Precios!C77*Precios!C$3</f>
        <v>0</v>
      </c>
      <c r="E79" s="12">
        <f>+Precios!D77*Precios!D$3</f>
        <v>0</v>
      </c>
      <c r="F79" s="12">
        <f>+Precios!E77*Precios!E$3</f>
        <v>0</v>
      </c>
      <c r="G79" s="12">
        <f>+Precios!F77*Precios!F$3</f>
        <v>0</v>
      </c>
      <c r="H79" s="12">
        <f>+Precios!G77*Precios!G$3</f>
        <v>0</v>
      </c>
      <c r="I79" s="12">
        <f>+Precios!H77*Precios!H$3</f>
        <v>0</v>
      </c>
      <c r="J79" s="12">
        <f>+Precios!I77*Precios!I$3</f>
        <v>0</v>
      </c>
      <c r="K79" s="12">
        <f>+Precios!J77*Precios!J$3</f>
        <v>0</v>
      </c>
      <c r="L79" s="12">
        <f>+Precios!K77*Precios!K$3</f>
        <v>0</v>
      </c>
      <c r="M79" s="12">
        <f>+Precios!L77*Precios!L$3</f>
        <v>0</v>
      </c>
      <c r="N79" s="12">
        <f>+Precios!M77*Precios!M$3</f>
        <v>0</v>
      </c>
      <c r="O79" s="12">
        <f>+Precios!N77*Precios!N$3</f>
        <v>0</v>
      </c>
      <c r="P79" s="12">
        <f>+Precios!O77*Precios!O$3</f>
        <v>0</v>
      </c>
      <c r="Q79" s="12">
        <f>+Precios!P77*Precios!P$3</f>
        <v>0</v>
      </c>
      <c r="R79" s="12">
        <f>+Precios!Q77*Precios!Q$3</f>
        <v>0</v>
      </c>
      <c r="S79" s="12">
        <f>+Precios!R77*Precios!R$3</f>
        <v>0</v>
      </c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>
        <f t="shared" si="144"/>
        <v>0</v>
      </c>
      <c r="AP79" s="12"/>
      <c r="AQ79" s="12"/>
      <c r="AR79" s="12"/>
      <c r="AS79" s="12"/>
      <c r="AT79" s="12"/>
      <c r="AU79" s="12">
        <f t="shared" ref="AU79:AW79" si="158">+AU78</f>
        <v>0</v>
      </c>
      <c r="AV79" s="31">
        <f t="shared" si="158"/>
        <v>50000</v>
      </c>
      <c r="AW79" s="12">
        <f t="shared" si="158"/>
        <v>0</v>
      </c>
      <c r="AX79" s="12"/>
      <c r="AY79" s="12">
        <f t="shared" ref="AY79:BA79" si="159">+AY78</f>
        <v>0</v>
      </c>
      <c r="AZ79" s="12">
        <f t="shared" si="159"/>
        <v>0</v>
      </c>
      <c r="BA79" s="12">
        <f t="shared" si="159"/>
        <v>0</v>
      </c>
      <c r="BB79" s="12">
        <f t="shared" si="156"/>
        <v>0</v>
      </c>
      <c r="BC79" s="12">
        <f>+Precios!BB77*Precios!BB$3</f>
        <v>0</v>
      </c>
      <c r="BD79" s="12">
        <f>+Precios!BC77*Precios!BC$3</f>
        <v>0</v>
      </c>
      <c r="BE79" s="12">
        <f>+Precios!BD77*Precios!BD$3</f>
        <v>0</v>
      </c>
      <c r="BF79" s="12">
        <f>+Precios!BE77*Precios!BE$3</f>
        <v>0</v>
      </c>
      <c r="BG79" s="12">
        <f>+Precios!BF77*Precios!BF$3</f>
        <v>0</v>
      </c>
      <c r="BH79" s="12">
        <f>+Precios!BG77*Precios!BG$3</f>
        <v>0</v>
      </c>
      <c r="BI79" s="12">
        <f>+Precios!BH77*Precios!BH$3</f>
        <v>0</v>
      </c>
      <c r="BJ79" s="12">
        <f>+Precios!BI77*Precios!BI$3</f>
        <v>0</v>
      </c>
      <c r="BK79" s="12">
        <f>+Precios!BJ77*Precios!BJ$3</f>
        <v>0</v>
      </c>
      <c r="BL79" s="12">
        <f>+Precios!BK77*Precios!BK$3</f>
        <v>0</v>
      </c>
      <c r="BM79" s="12">
        <f>+Precios!BL77*Precios!BL$3</f>
        <v>0</v>
      </c>
      <c r="BN79" s="35"/>
      <c r="BO79" s="35"/>
      <c r="BP79" s="35"/>
      <c r="BQ79" s="35"/>
      <c r="BR79" s="35"/>
      <c r="BS79" s="35"/>
      <c r="BT79" s="35"/>
      <c r="BU79" s="35"/>
      <c r="BV79" s="35"/>
    </row>
    <row r="80" spans="1:74" ht="15" thickBot="1">
      <c r="A80" s="5">
        <f t="shared" si="146"/>
        <v>50000</v>
      </c>
      <c r="B80" s="15">
        <f>+Precios!A78</f>
        <v>46080</v>
      </c>
      <c r="C80" s="12">
        <f>+Precios!B78*Precios!B$3</f>
        <v>0</v>
      </c>
      <c r="D80" s="12">
        <f>+Precios!C78*Precios!C$3</f>
        <v>0</v>
      </c>
      <c r="E80" s="12">
        <f>+Precios!D78*Precios!D$3</f>
        <v>0</v>
      </c>
      <c r="F80" s="12">
        <f>+Precios!E78*Precios!E$3</f>
        <v>0</v>
      </c>
      <c r="G80" s="12">
        <f>+Precios!F78*Precios!F$3</f>
        <v>0</v>
      </c>
      <c r="H80" s="12">
        <f>+Precios!G78*Precios!G$3</f>
        <v>0</v>
      </c>
      <c r="I80" s="12">
        <f>+Precios!H78*Precios!H$3</f>
        <v>0</v>
      </c>
      <c r="J80" s="12">
        <f>+Precios!I78*Precios!I$3</f>
        <v>0</v>
      </c>
      <c r="K80" s="12">
        <f>+Precios!J78*Precios!J$3</f>
        <v>0</v>
      </c>
      <c r="L80" s="12">
        <f>+Precios!K78*Precios!K$3</f>
        <v>0</v>
      </c>
      <c r="M80" s="12">
        <f>+Precios!L78*Precios!L$3</f>
        <v>0</v>
      </c>
      <c r="N80" s="12">
        <f>+Precios!M78*Precios!M$3</f>
        <v>0</v>
      </c>
      <c r="O80" s="12">
        <f>+Precios!N78*Precios!N$3</f>
        <v>0</v>
      </c>
      <c r="P80" s="12">
        <f>+Precios!O78*Precios!O$3</f>
        <v>0</v>
      </c>
      <c r="Q80" s="12">
        <f>+Precios!P78*Precios!P$3</f>
        <v>0</v>
      </c>
      <c r="R80" s="12">
        <f>+Precios!Q78*Precios!Q$3</f>
        <v>0</v>
      </c>
      <c r="S80" s="12">
        <f>+Precios!R78*Precios!R$3</f>
        <v>0</v>
      </c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>
        <f t="shared" si="144"/>
        <v>0</v>
      </c>
      <c r="AP80" s="12"/>
      <c r="AQ80" s="12"/>
      <c r="AR80" s="12"/>
      <c r="AS80" s="12"/>
      <c r="AT80" s="12"/>
      <c r="AU80" s="12">
        <f t="shared" ref="AU80:AW80" si="160">+AU79</f>
        <v>0</v>
      </c>
      <c r="AV80" s="31">
        <f t="shared" si="160"/>
        <v>50000</v>
      </c>
      <c r="AW80" s="12">
        <f t="shared" si="160"/>
        <v>0</v>
      </c>
      <c r="AX80" s="12"/>
      <c r="AY80" s="12">
        <f t="shared" ref="AY80:BA80" si="161">+AY79</f>
        <v>0</v>
      </c>
      <c r="AZ80" s="12">
        <f t="shared" si="161"/>
        <v>0</v>
      </c>
      <c r="BA80" s="12">
        <f t="shared" si="161"/>
        <v>0</v>
      </c>
      <c r="BB80" s="12">
        <f t="shared" si="156"/>
        <v>0</v>
      </c>
      <c r="BC80" s="12">
        <f t="shared" si="156"/>
        <v>0</v>
      </c>
      <c r="BD80" s="12">
        <f>+Precios!BC78*Precios!BC$3</f>
        <v>0</v>
      </c>
      <c r="BE80" s="12">
        <f>+Precios!BD78*Precios!BD$3</f>
        <v>0</v>
      </c>
      <c r="BF80" s="12">
        <f>+Precios!BE78*Precios!BE$3</f>
        <v>0</v>
      </c>
      <c r="BG80" s="12">
        <f>+Precios!BF78*Precios!BF$3</f>
        <v>0</v>
      </c>
      <c r="BH80" s="12">
        <f>+Precios!BG78*Precios!BG$3</f>
        <v>0</v>
      </c>
      <c r="BI80" s="12">
        <f>+Precios!BH78*Precios!BH$3</f>
        <v>0</v>
      </c>
      <c r="BJ80" s="12">
        <f>+Precios!BI78*Precios!BI$3</f>
        <v>0</v>
      </c>
      <c r="BK80" s="12">
        <f>+Precios!BJ78*Precios!BJ$3</f>
        <v>0</v>
      </c>
      <c r="BL80" s="12">
        <f>+Precios!BK78*Precios!BK$3</f>
        <v>0</v>
      </c>
      <c r="BM80" s="12">
        <f>+Precios!BL78*Precios!BL$3</f>
        <v>0</v>
      </c>
      <c r="BN80" s="35"/>
      <c r="BO80" s="35"/>
      <c r="BP80" s="35"/>
      <c r="BQ80" s="35"/>
      <c r="BR80" s="35"/>
      <c r="BS80" s="35"/>
      <c r="BT80" s="35"/>
      <c r="BU80" s="35"/>
      <c r="BV80" s="35"/>
    </row>
    <row r="81" spans="1:74" ht="15" thickBot="1">
      <c r="A81" s="5">
        <f t="shared" si="146"/>
        <v>50000</v>
      </c>
      <c r="B81" s="15">
        <f>+Precios!A79</f>
        <v>46083</v>
      </c>
      <c r="C81" s="12">
        <f>+Precios!B79*Precios!B$3</f>
        <v>0</v>
      </c>
      <c r="D81" s="12">
        <f>+Precios!C79*Precios!C$3</f>
        <v>0</v>
      </c>
      <c r="E81" s="12">
        <f>+Precios!D79*Precios!D$3</f>
        <v>0</v>
      </c>
      <c r="F81" s="12">
        <f>+Precios!E79*Precios!E$3</f>
        <v>0</v>
      </c>
      <c r="G81" s="12">
        <f>+Precios!F79*Precios!F$3</f>
        <v>0</v>
      </c>
      <c r="H81" s="12">
        <f>+Precios!G79*Precios!G$3</f>
        <v>0</v>
      </c>
      <c r="I81" s="12">
        <f>+Precios!H79*Precios!H$3</f>
        <v>0</v>
      </c>
      <c r="J81" s="12">
        <f>+Precios!I79*Precios!I$3</f>
        <v>0</v>
      </c>
      <c r="K81" s="12">
        <f>+Precios!J79*Precios!J$3</f>
        <v>0</v>
      </c>
      <c r="L81" s="12">
        <f>+Precios!K79*Precios!K$3</f>
        <v>0</v>
      </c>
      <c r="M81" s="12">
        <f>+Precios!L79*Precios!L$3</f>
        <v>0</v>
      </c>
      <c r="N81" s="12">
        <f>+Precios!M79*Precios!M$3</f>
        <v>0</v>
      </c>
      <c r="O81" s="12">
        <f>+Precios!N79*Precios!N$3</f>
        <v>0</v>
      </c>
      <c r="P81" s="12">
        <f>+Precios!O79*Precios!O$3</f>
        <v>0</v>
      </c>
      <c r="Q81" s="12">
        <f>+Precios!P79*Precios!P$3</f>
        <v>0</v>
      </c>
      <c r="R81" s="12">
        <f>+Precios!Q79*Precios!Q$3</f>
        <v>0</v>
      </c>
      <c r="S81" s="12">
        <f>+Precios!R79*Precios!R$3</f>
        <v>0</v>
      </c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>
        <f t="shared" ref="AU81:AW81" si="162">+AU80</f>
        <v>0</v>
      </c>
      <c r="AV81" s="31">
        <f t="shared" si="162"/>
        <v>50000</v>
      </c>
      <c r="AW81" s="12">
        <f t="shared" si="162"/>
        <v>0</v>
      </c>
      <c r="AX81" s="12"/>
      <c r="AY81" s="12">
        <f t="shared" ref="AY81:BC81" si="163">+AY80</f>
        <v>0</v>
      </c>
      <c r="AZ81" s="12">
        <f t="shared" si="163"/>
        <v>0</v>
      </c>
      <c r="BA81" s="12">
        <f t="shared" si="163"/>
        <v>0</v>
      </c>
      <c r="BB81" s="12">
        <f t="shared" si="163"/>
        <v>0</v>
      </c>
      <c r="BC81" s="12">
        <f t="shared" si="163"/>
        <v>0</v>
      </c>
      <c r="BD81" s="12">
        <f>+Precios!BC79*Precios!BC$3</f>
        <v>0</v>
      </c>
      <c r="BE81" s="12">
        <f>+Precios!BD79*Precios!BD$3</f>
        <v>0</v>
      </c>
      <c r="BF81" s="12">
        <f>+Precios!BE79*Precios!BE$3</f>
        <v>0</v>
      </c>
      <c r="BG81" s="12">
        <f>+Precios!BF79*Precios!BF$3</f>
        <v>0</v>
      </c>
      <c r="BH81" s="12">
        <f>+Precios!BG79*Precios!BG$3</f>
        <v>0</v>
      </c>
      <c r="BI81" s="12">
        <f>+Precios!BH79*Precios!BH$3</f>
        <v>0</v>
      </c>
      <c r="BJ81" s="12">
        <f>+Precios!BI79*Precios!BI$3</f>
        <v>0</v>
      </c>
      <c r="BK81" s="12">
        <f>+Precios!BJ79*Precios!BJ$3</f>
        <v>0</v>
      </c>
      <c r="BL81" s="12">
        <f>+Precios!BK79*Precios!BK$3</f>
        <v>0</v>
      </c>
      <c r="BM81" s="12">
        <f>+Precios!BL79*Precios!BL$3</f>
        <v>0</v>
      </c>
      <c r="BN81" s="35"/>
      <c r="BO81" s="35"/>
      <c r="BP81" s="35"/>
      <c r="BQ81" s="35"/>
      <c r="BR81" s="35"/>
      <c r="BS81" s="35"/>
      <c r="BT81" s="35"/>
      <c r="BU81" s="35"/>
      <c r="BV81" s="35"/>
    </row>
    <row r="82" spans="1:74" ht="15" thickBot="1">
      <c r="A82" s="5">
        <f t="shared" si="146"/>
        <v>50000</v>
      </c>
      <c r="B82" s="15">
        <f>+Precios!A80</f>
        <v>46084</v>
      </c>
      <c r="C82" s="12">
        <f>+Precios!B80*Precios!B$3</f>
        <v>0</v>
      </c>
      <c r="D82" s="12">
        <f>+Precios!C80*Precios!C$3</f>
        <v>0</v>
      </c>
      <c r="E82" s="12">
        <f>+Precios!D80*Precios!D$3</f>
        <v>0</v>
      </c>
      <c r="F82" s="12">
        <f>+Precios!E80*Precios!E$3</f>
        <v>0</v>
      </c>
      <c r="G82" s="12">
        <f>+Precios!F80*Precios!F$3</f>
        <v>0</v>
      </c>
      <c r="H82" s="12">
        <f>+Precios!G80*Precios!G$3</f>
        <v>0</v>
      </c>
      <c r="I82" s="12">
        <f>+Precios!H80*Precios!H$3</f>
        <v>0</v>
      </c>
      <c r="J82" s="12">
        <f>+Precios!I80*Precios!I$3</f>
        <v>0</v>
      </c>
      <c r="K82" s="12">
        <f>+Precios!J80*Precios!J$3</f>
        <v>0</v>
      </c>
      <c r="L82" s="12">
        <f>+Precios!K80*Precios!K$3</f>
        <v>0</v>
      </c>
      <c r="M82" s="12">
        <f>+Precios!L80*Precios!L$3</f>
        <v>0</v>
      </c>
      <c r="N82" s="12">
        <f>+Precios!M80*Precios!M$3</f>
        <v>0</v>
      </c>
      <c r="O82" s="12">
        <f>+Precios!N80*Precios!N$3</f>
        <v>0</v>
      </c>
      <c r="P82" s="12">
        <f>+Precios!O80*Precios!O$3</f>
        <v>0</v>
      </c>
      <c r="Q82" s="12">
        <f>+Precios!P80*Precios!P$3</f>
        <v>0</v>
      </c>
      <c r="R82" s="12">
        <f>+Precios!Q80*Precios!Q$3</f>
        <v>0</v>
      </c>
      <c r="S82" s="12">
        <f>+Precios!R80*Precios!R$3</f>
        <v>0</v>
      </c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>
        <f t="shared" ref="AU82:AW82" si="164">+AU81</f>
        <v>0</v>
      </c>
      <c r="AV82" s="31">
        <f t="shared" si="164"/>
        <v>50000</v>
      </c>
      <c r="AW82" s="12">
        <f t="shared" si="164"/>
        <v>0</v>
      </c>
      <c r="AX82" s="12"/>
      <c r="AY82" s="12">
        <f t="shared" si="156"/>
        <v>0</v>
      </c>
      <c r="AZ82" s="12">
        <f t="shared" si="156"/>
        <v>0</v>
      </c>
      <c r="BA82" s="12">
        <f t="shared" si="156"/>
        <v>0</v>
      </c>
      <c r="BB82" s="12">
        <f t="shared" ref="BB82:BC82" si="165">+BB81</f>
        <v>0</v>
      </c>
      <c r="BC82" s="12">
        <f t="shared" si="165"/>
        <v>0</v>
      </c>
      <c r="BD82" s="12">
        <f>+Precios!BC80*Precios!BC$3</f>
        <v>0</v>
      </c>
      <c r="BE82" s="12">
        <f>+Precios!BD80*Precios!BD$3</f>
        <v>0</v>
      </c>
      <c r="BF82" s="12">
        <f>+Precios!BE80*Precios!BE$3</f>
        <v>0</v>
      </c>
      <c r="BG82" s="12">
        <f>+Precios!BF80*Precios!BF$3</f>
        <v>0</v>
      </c>
      <c r="BH82" s="12">
        <f>+Precios!BG80*Precios!BG$3</f>
        <v>0</v>
      </c>
      <c r="BI82" s="12">
        <f>+Precios!BH80*Precios!BH$3</f>
        <v>0</v>
      </c>
      <c r="BJ82" s="12">
        <f>+Precios!BI80*Precios!BI$3</f>
        <v>0</v>
      </c>
      <c r="BK82" s="12">
        <f>+Precios!BJ80*Precios!BJ$3</f>
        <v>0</v>
      </c>
      <c r="BL82" s="12">
        <f>+Precios!BK80*Precios!BK$3</f>
        <v>0</v>
      </c>
      <c r="BM82" s="12">
        <f>+Precios!BL80*Precios!BL$3</f>
        <v>0</v>
      </c>
      <c r="BN82" s="35"/>
      <c r="BO82" s="35"/>
      <c r="BP82" s="35"/>
      <c r="BQ82" s="35"/>
      <c r="BR82" s="35"/>
      <c r="BS82" s="35"/>
      <c r="BT82" s="35"/>
      <c r="BU82" s="35"/>
      <c r="BV82" s="35"/>
    </row>
    <row r="83" spans="1:74" ht="15" thickBot="1">
      <c r="A83" s="5">
        <f t="shared" si="146"/>
        <v>50000</v>
      </c>
      <c r="B83" s="15">
        <f>+Precios!A81</f>
        <v>46085</v>
      </c>
      <c r="C83" s="12">
        <f>+Precios!B81*Precios!B$3</f>
        <v>0</v>
      </c>
      <c r="D83" s="12">
        <f>+Precios!C81*Precios!C$3</f>
        <v>0</v>
      </c>
      <c r="E83" s="12">
        <f>+Precios!D81*Precios!D$3</f>
        <v>0</v>
      </c>
      <c r="F83" s="12">
        <f>+Precios!E81*Precios!E$3</f>
        <v>0</v>
      </c>
      <c r="G83" s="12">
        <f>+Precios!F81*Precios!F$3</f>
        <v>0</v>
      </c>
      <c r="H83" s="12">
        <f>+Precios!G81*Precios!G$3</f>
        <v>0</v>
      </c>
      <c r="I83" s="12">
        <f>+Precios!H81*Precios!H$3</f>
        <v>0</v>
      </c>
      <c r="J83" s="12">
        <f>+Precios!I81*Precios!I$3</f>
        <v>0</v>
      </c>
      <c r="K83" s="12">
        <f>+Precios!J81*Precios!J$3</f>
        <v>0</v>
      </c>
      <c r="L83" s="12">
        <f>+Precios!K81*Precios!K$3</f>
        <v>0</v>
      </c>
      <c r="M83" s="12">
        <f>+Precios!L81*Precios!L$3</f>
        <v>0</v>
      </c>
      <c r="N83" s="12">
        <f>+Precios!M81*Precios!M$3</f>
        <v>0</v>
      </c>
      <c r="O83" s="12">
        <f>+Precios!N81*Precios!N$3</f>
        <v>0</v>
      </c>
      <c r="P83" s="12">
        <f>+Precios!O81*Precios!O$3</f>
        <v>0</v>
      </c>
      <c r="Q83" s="12">
        <f>+Precios!P81*Precios!P$3</f>
        <v>0</v>
      </c>
      <c r="R83" s="12">
        <f>+Precios!Q81*Precios!Q$3</f>
        <v>0</v>
      </c>
      <c r="S83" s="12">
        <f>+Precios!R81*Precios!R$3</f>
        <v>0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31">
        <f t="shared" ref="AV83:AV110" si="166">+AV82</f>
        <v>50000</v>
      </c>
      <c r="AW83" s="12"/>
      <c r="AX83" s="12"/>
      <c r="AY83" s="12"/>
      <c r="AZ83" s="12"/>
      <c r="BA83" s="12"/>
      <c r="BB83" s="12"/>
      <c r="BC83" s="12">
        <f t="shared" ref="BC83" si="167">+BC82</f>
        <v>0</v>
      </c>
      <c r="BD83" s="12">
        <f t="shared" si="156"/>
        <v>0</v>
      </c>
      <c r="BE83" s="12">
        <f>+Precios!BD81*Precios!BD$3</f>
        <v>0</v>
      </c>
      <c r="BF83" s="12">
        <f>+Precios!BE81*Precios!BE$3</f>
        <v>0</v>
      </c>
      <c r="BG83" s="12">
        <f>+Precios!BF81*Precios!BF$3</f>
        <v>0</v>
      </c>
      <c r="BH83" s="12">
        <f>+Precios!BG81*Precios!BG$3</f>
        <v>0</v>
      </c>
      <c r="BI83" s="12">
        <f>+Precios!BH81*Precios!BH$3</f>
        <v>0</v>
      </c>
      <c r="BJ83" s="12">
        <f>+Precios!BI81*Precios!BI$3</f>
        <v>0</v>
      </c>
      <c r="BK83" s="12">
        <f>+Precios!BJ81*Precios!BJ$3</f>
        <v>0</v>
      </c>
      <c r="BL83" s="12">
        <f>+Precios!BK81*Precios!BK$3</f>
        <v>0</v>
      </c>
      <c r="BM83" s="12">
        <f>+Precios!BL81*Precios!BL$3</f>
        <v>0</v>
      </c>
      <c r="BN83" s="35"/>
      <c r="BO83" s="35"/>
      <c r="BP83" s="35"/>
      <c r="BQ83" s="35"/>
      <c r="BR83" s="35"/>
      <c r="BS83" s="35"/>
      <c r="BT83" s="35"/>
      <c r="BU83" s="35"/>
      <c r="BV83" s="35"/>
    </row>
    <row r="84" spans="1:74" ht="15" thickBot="1">
      <c r="A84" s="5">
        <f t="shared" si="146"/>
        <v>100001</v>
      </c>
      <c r="B84" s="15">
        <f>+Precios!A82</f>
        <v>46086</v>
      </c>
      <c r="C84" s="12">
        <f>+Precios!B82*Precios!B$3</f>
        <v>0</v>
      </c>
      <c r="D84" s="12">
        <f>+Precios!C82*Precios!C$3</f>
        <v>0</v>
      </c>
      <c r="E84" s="12">
        <f>+Precios!D82*Precios!D$3</f>
        <v>0</v>
      </c>
      <c r="F84" s="12">
        <f>+Precios!E82*Precios!E$3</f>
        <v>0</v>
      </c>
      <c r="G84" s="12">
        <f>+Precios!F82*Precios!F$3</f>
        <v>0</v>
      </c>
      <c r="H84" s="12">
        <f>+Precios!G82*Precios!G$3</f>
        <v>0</v>
      </c>
      <c r="I84" s="12">
        <f>+Precios!H82*Precios!H$3</f>
        <v>0</v>
      </c>
      <c r="J84" s="12">
        <f>+Precios!I82*Precios!I$3</f>
        <v>0</v>
      </c>
      <c r="K84" s="12">
        <f>+Precios!J82*Precios!J$3</f>
        <v>0</v>
      </c>
      <c r="L84" s="12">
        <f>+Precios!K82*Precios!K$3</f>
        <v>0</v>
      </c>
      <c r="M84" s="12">
        <f>+Precios!L82*Precios!L$3</f>
        <v>0</v>
      </c>
      <c r="N84" s="12">
        <f>+Precios!M82*Precios!M$3</f>
        <v>0</v>
      </c>
      <c r="O84" s="12">
        <f>+Precios!N82*Precios!N$3</f>
        <v>0</v>
      </c>
      <c r="P84" s="12">
        <f>+Precios!O82*Precios!O$3</f>
        <v>0</v>
      </c>
      <c r="Q84" s="12">
        <f>+Precios!P82*Precios!P$3</f>
        <v>0</v>
      </c>
      <c r="R84" s="12">
        <f>+Precios!Q82*Precios!Q$3</f>
        <v>0</v>
      </c>
      <c r="S84" s="12">
        <f>+Precios!R82*Precios!R$3</f>
        <v>0</v>
      </c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31">
        <f t="shared" si="166"/>
        <v>50000</v>
      </c>
      <c r="AW84" s="12"/>
      <c r="AX84" s="12"/>
      <c r="AY84" s="12"/>
      <c r="AZ84" s="12"/>
      <c r="BA84" s="12"/>
      <c r="BB84" s="12"/>
      <c r="BC84" s="12">
        <f t="shared" ref="BC84" si="168">+BC83</f>
        <v>0</v>
      </c>
      <c r="BD84" s="12">
        <f t="shared" si="156"/>
        <v>0</v>
      </c>
      <c r="BE84" s="12">
        <f>+Precios!BD82*Precios!BD$3</f>
        <v>50001</v>
      </c>
      <c r="BF84" s="12">
        <f>+Precios!BE82*Precios!BE$3</f>
        <v>0</v>
      </c>
      <c r="BG84" s="12">
        <f>+Precios!BF82*Precios!BF$3</f>
        <v>0</v>
      </c>
      <c r="BH84" s="12">
        <f>+Precios!BG82*Precios!BG$3</f>
        <v>0</v>
      </c>
      <c r="BI84" s="12">
        <f>+Precios!BH82*Precios!BH$3</f>
        <v>0</v>
      </c>
      <c r="BJ84" s="12">
        <f>+Precios!BI82*Precios!BI$3</f>
        <v>0</v>
      </c>
      <c r="BK84" s="12">
        <f>+Precios!BJ82*Precios!BJ$3</f>
        <v>0</v>
      </c>
      <c r="BL84" s="12">
        <f>+Precios!BK82*Precios!BK$3</f>
        <v>0</v>
      </c>
      <c r="BM84" s="12">
        <f>+Precios!BL82*Precios!BL$3</f>
        <v>0</v>
      </c>
      <c r="BN84" s="35"/>
      <c r="BO84" s="35"/>
      <c r="BP84" s="35"/>
      <c r="BQ84" s="35"/>
      <c r="BR84" s="35"/>
      <c r="BS84" s="35"/>
      <c r="BT84" s="35"/>
      <c r="BU84" s="35"/>
      <c r="BV84" s="35"/>
    </row>
    <row r="85" spans="1:74" ht="15" thickBot="1">
      <c r="A85" s="5">
        <f t="shared" si="146"/>
        <v>100001</v>
      </c>
      <c r="B85" s="15">
        <f>+Precios!A83</f>
        <v>46087</v>
      </c>
      <c r="C85" s="12">
        <f>+Precios!B83*Precios!B$3</f>
        <v>0</v>
      </c>
      <c r="D85" s="12">
        <f>+Precios!C83*Precios!C$3</f>
        <v>0</v>
      </c>
      <c r="E85" s="12">
        <f>+Precios!D83*Precios!D$3</f>
        <v>0</v>
      </c>
      <c r="F85" s="12">
        <f>+Precios!E83*Precios!E$3</f>
        <v>0</v>
      </c>
      <c r="G85" s="12">
        <f>+Precios!F83*Precios!F$3</f>
        <v>0</v>
      </c>
      <c r="H85" s="12">
        <f>+Precios!G83*Precios!G$3</f>
        <v>0</v>
      </c>
      <c r="I85" s="12">
        <f>+Precios!H83*Precios!H$3</f>
        <v>0</v>
      </c>
      <c r="J85" s="12">
        <f>+Precios!I83*Precios!I$3</f>
        <v>0</v>
      </c>
      <c r="K85" s="12">
        <f>+Precios!J83*Precios!J$3</f>
        <v>0</v>
      </c>
      <c r="L85" s="12">
        <f>+Precios!K83*Precios!K$3</f>
        <v>0</v>
      </c>
      <c r="M85" s="12">
        <f>+Precios!L83*Precios!L$3</f>
        <v>0</v>
      </c>
      <c r="N85" s="12">
        <f>+Precios!M83*Precios!M$3</f>
        <v>0</v>
      </c>
      <c r="O85" s="12">
        <f>+Precios!N83*Precios!N$3</f>
        <v>0</v>
      </c>
      <c r="P85" s="12">
        <f>+Precios!O83*Precios!O$3</f>
        <v>0</v>
      </c>
      <c r="Q85" s="12">
        <f>+Precios!P83*Precios!P$3</f>
        <v>0</v>
      </c>
      <c r="R85" s="12">
        <f>+Precios!Q83*Precios!Q$3</f>
        <v>0</v>
      </c>
      <c r="S85" s="12">
        <f>+Precios!R83*Precios!R$3</f>
        <v>0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31">
        <f t="shared" si="166"/>
        <v>50000</v>
      </c>
      <c r="AW85" s="12"/>
      <c r="AX85" s="12"/>
      <c r="AY85" s="12"/>
      <c r="AZ85" s="12"/>
      <c r="BA85" s="12"/>
      <c r="BB85" s="12"/>
      <c r="BC85" s="12">
        <f t="shared" ref="BC85" si="169">+BC84</f>
        <v>0</v>
      </c>
      <c r="BD85" s="12">
        <f t="shared" si="156"/>
        <v>0</v>
      </c>
      <c r="BE85" s="12">
        <f t="shared" si="156"/>
        <v>50001</v>
      </c>
      <c r="BF85" s="12">
        <f>+Precios!BE83*Precios!BE$3</f>
        <v>0</v>
      </c>
      <c r="BG85" s="12">
        <f>+Precios!BF83*Precios!BF$3</f>
        <v>0</v>
      </c>
      <c r="BH85" s="12">
        <f>+Precios!BG83*Precios!BG$3</f>
        <v>0</v>
      </c>
      <c r="BI85" s="12">
        <f>+Precios!BH83*Precios!BH$3</f>
        <v>0</v>
      </c>
      <c r="BJ85" s="12">
        <f>+Precios!BI83*Precios!BI$3</f>
        <v>0</v>
      </c>
      <c r="BK85" s="12">
        <f>+Precios!BJ83*Precios!BJ$3</f>
        <v>0</v>
      </c>
      <c r="BL85" s="12">
        <f>+Precios!BK83*Precios!BK$3</f>
        <v>0</v>
      </c>
      <c r="BM85" s="12">
        <f>+Precios!BL83*Precios!BL$3</f>
        <v>0</v>
      </c>
      <c r="BN85" s="35"/>
      <c r="BO85" s="35"/>
      <c r="BP85" s="35"/>
      <c r="BQ85" s="35"/>
      <c r="BR85" s="35"/>
      <c r="BS85" s="35"/>
      <c r="BT85" s="35"/>
      <c r="BU85" s="35"/>
      <c r="BV85" s="35"/>
    </row>
    <row r="86" spans="1:74" ht="15" thickBot="1">
      <c r="A86" s="5">
        <f t="shared" si="146"/>
        <v>249963.46</v>
      </c>
      <c r="B86" s="15">
        <f>+Precios!A84</f>
        <v>46090</v>
      </c>
      <c r="C86" s="12">
        <f>+Precios!B84*Precios!B$3</f>
        <v>0</v>
      </c>
      <c r="D86" s="12">
        <f>+Precios!C84*Precios!C$3</f>
        <v>0</v>
      </c>
      <c r="E86" s="12">
        <f>+Precios!D84*Precios!D$3</f>
        <v>0</v>
      </c>
      <c r="F86" s="12">
        <f>+Precios!E84*Precios!E$3</f>
        <v>0</v>
      </c>
      <c r="G86" s="12">
        <f>+Precios!F84*Precios!F$3</f>
        <v>0</v>
      </c>
      <c r="H86" s="12">
        <f>+Precios!G84*Precios!G$3</f>
        <v>0</v>
      </c>
      <c r="I86" s="12">
        <f>+Precios!H84*Precios!H$3</f>
        <v>0</v>
      </c>
      <c r="J86" s="12">
        <f>+Precios!I84*Precios!I$3</f>
        <v>0</v>
      </c>
      <c r="K86" s="12">
        <f>+Precios!J84*Precios!J$3</f>
        <v>0</v>
      </c>
      <c r="L86" s="12">
        <f>+Precios!K84*Precios!K$3</f>
        <v>0</v>
      </c>
      <c r="M86" s="12">
        <f>+Precios!L84*Precios!L$3</f>
        <v>0</v>
      </c>
      <c r="N86" s="12">
        <f>+Precios!M84*Precios!M$3</f>
        <v>0</v>
      </c>
      <c r="O86" s="12">
        <f>+Precios!N84*Precios!N$3</f>
        <v>0</v>
      </c>
      <c r="P86" s="12">
        <f>+Precios!O84*Precios!O$3</f>
        <v>0</v>
      </c>
      <c r="Q86" s="12">
        <f>+Precios!P84*Precios!P$3</f>
        <v>0</v>
      </c>
      <c r="R86" s="12">
        <f>+Precios!Q84*Precios!Q$3</f>
        <v>0</v>
      </c>
      <c r="S86" s="12">
        <f>+Precios!R84*Precios!R$3</f>
        <v>0</v>
      </c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31">
        <f t="shared" si="166"/>
        <v>50000</v>
      </c>
      <c r="AW86" s="12"/>
      <c r="AX86" s="12"/>
      <c r="AY86" s="12"/>
      <c r="AZ86" s="12"/>
      <c r="BA86" s="12"/>
      <c r="BB86" s="12"/>
      <c r="BC86" s="12">
        <f t="shared" ref="BC86:BE86" si="170">+BC85</f>
        <v>0</v>
      </c>
      <c r="BD86" s="12">
        <f t="shared" si="170"/>
        <v>0</v>
      </c>
      <c r="BE86" s="12">
        <f t="shared" si="170"/>
        <v>50001</v>
      </c>
      <c r="BF86" s="12">
        <f>+TRACK!H58</f>
        <v>99960</v>
      </c>
      <c r="BG86" s="12">
        <f>+TRACK!F77*TRACK!G77</f>
        <v>50002.46</v>
      </c>
      <c r="BH86" s="12">
        <f>+Precios!BG84*Precios!BG$3</f>
        <v>0</v>
      </c>
      <c r="BI86" s="12">
        <f>+Precios!BH84*Precios!BH$3</f>
        <v>0</v>
      </c>
      <c r="BJ86" s="12">
        <f>+Precios!BI84*Precios!BI$3</f>
        <v>0</v>
      </c>
      <c r="BK86" s="12">
        <f>+Precios!BJ84*Precios!BJ$3</f>
        <v>0</v>
      </c>
      <c r="BL86" s="12">
        <f>+Precios!BK84*Precios!BK$3</f>
        <v>0</v>
      </c>
      <c r="BM86" s="12">
        <f>+Precios!BL84*Precios!BL$3</f>
        <v>0</v>
      </c>
      <c r="BN86" s="35"/>
      <c r="BO86" s="35"/>
      <c r="BP86" s="35"/>
      <c r="BQ86" s="35"/>
      <c r="BR86" s="35"/>
      <c r="BS86" s="35"/>
      <c r="BT86" s="35"/>
      <c r="BU86" s="35"/>
      <c r="BV86" s="35"/>
    </row>
    <row r="87" spans="1:74" ht="15" thickBot="1">
      <c r="A87" s="5">
        <f t="shared" si="146"/>
        <v>249963.46</v>
      </c>
      <c r="B87" s="15">
        <f>+Precios!A85</f>
        <v>46091</v>
      </c>
      <c r="C87" s="12">
        <f>+Precios!B85*Precios!B$3</f>
        <v>0</v>
      </c>
      <c r="D87" s="12">
        <f>+Precios!C85*Precios!C$3</f>
        <v>0</v>
      </c>
      <c r="E87" s="12">
        <f>+Precios!D85*Precios!D$3</f>
        <v>0</v>
      </c>
      <c r="F87" s="12">
        <f>+Precios!E85*Precios!E$3</f>
        <v>0</v>
      </c>
      <c r="G87" s="12">
        <f>+Precios!F85*Precios!F$3</f>
        <v>0</v>
      </c>
      <c r="H87" s="12">
        <f>+Precios!G85*Precios!G$3</f>
        <v>0</v>
      </c>
      <c r="I87" s="12">
        <f>+Precios!H85*Precios!H$3</f>
        <v>0</v>
      </c>
      <c r="J87" s="12">
        <f>+Precios!I85*Precios!I$3</f>
        <v>0</v>
      </c>
      <c r="K87" s="12">
        <f>+Precios!J85*Precios!J$3</f>
        <v>0</v>
      </c>
      <c r="L87" s="12">
        <f>+Precios!K85*Precios!K$3</f>
        <v>0</v>
      </c>
      <c r="M87" s="12">
        <f>+Precios!L85*Precios!L$3</f>
        <v>0</v>
      </c>
      <c r="N87" s="12">
        <f>+Precios!M85*Precios!M$3</f>
        <v>0</v>
      </c>
      <c r="O87" s="12">
        <f>+Precios!N85*Precios!N$3</f>
        <v>0</v>
      </c>
      <c r="P87" s="12">
        <f>+Precios!O85*Precios!O$3</f>
        <v>0</v>
      </c>
      <c r="Q87" s="12">
        <f>+Precios!P85*Precios!P$3</f>
        <v>0</v>
      </c>
      <c r="R87" s="12">
        <f>+Precios!Q85*Precios!Q$3</f>
        <v>0</v>
      </c>
      <c r="S87" s="12">
        <f>+Precios!R85*Precios!R$3</f>
        <v>0</v>
      </c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31">
        <f t="shared" si="166"/>
        <v>50000</v>
      </c>
      <c r="AW87" s="12"/>
      <c r="AX87" s="12"/>
      <c r="AY87" s="12"/>
      <c r="AZ87" s="12"/>
      <c r="BA87" s="12"/>
      <c r="BB87" s="12"/>
      <c r="BC87" s="12">
        <f t="shared" ref="BC87:BE87" si="171">+BC86</f>
        <v>0</v>
      </c>
      <c r="BD87" s="12">
        <f t="shared" si="171"/>
        <v>0</v>
      </c>
      <c r="BE87" s="12">
        <f t="shared" si="171"/>
        <v>50001</v>
      </c>
      <c r="BF87" s="12">
        <f t="shared" si="156"/>
        <v>99960</v>
      </c>
      <c r="BG87" s="12">
        <f t="shared" si="156"/>
        <v>50002.46</v>
      </c>
      <c r="BH87" s="12">
        <f>+Precios!BG85*Precios!BG$3</f>
        <v>0</v>
      </c>
      <c r="BI87" s="12">
        <f>+Precios!BH85*Precios!BH$3</f>
        <v>0</v>
      </c>
      <c r="BJ87" s="12">
        <f>+Precios!BI85*Precios!BI$3</f>
        <v>0</v>
      </c>
      <c r="BK87" s="12">
        <f>+Precios!BJ85*Precios!BJ$3</f>
        <v>0</v>
      </c>
      <c r="BL87" s="12">
        <f>+Precios!BK85*Precios!BK$3</f>
        <v>0</v>
      </c>
      <c r="BM87" s="12">
        <f>+Precios!BL85*Precios!BL$3</f>
        <v>0</v>
      </c>
      <c r="BN87" s="35"/>
      <c r="BO87" s="35"/>
      <c r="BP87" s="35"/>
      <c r="BQ87" s="35"/>
      <c r="BR87" s="35"/>
      <c r="BS87" s="35"/>
      <c r="BT87" s="35"/>
      <c r="BU87" s="35"/>
      <c r="BV87" s="35"/>
    </row>
    <row r="88" spans="1:74" ht="15" thickBot="1">
      <c r="A88" s="5">
        <f t="shared" si="146"/>
        <v>249963.46</v>
      </c>
      <c r="B88" s="15">
        <f>+Precios!A86</f>
        <v>46092</v>
      </c>
      <c r="C88" s="12">
        <f>+Precios!B86*Precios!B$3</f>
        <v>0</v>
      </c>
      <c r="D88" s="12">
        <f>+Precios!C86*Precios!C$3</f>
        <v>0</v>
      </c>
      <c r="E88" s="12">
        <f>+Precios!D86*Precios!D$3</f>
        <v>0</v>
      </c>
      <c r="F88" s="12">
        <f>+Precios!E86*Precios!E$3</f>
        <v>0</v>
      </c>
      <c r="G88" s="12">
        <f>+Precios!F86*Precios!F$3</f>
        <v>0</v>
      </c>
      <c r="H88" s="12">
        <f>+Precios!G86*Precios!G$3</f>
        <v>0</v>
      </c>
      <c r="I88" s="12">
        <f>+Precios!H86*Precios!H$3</f>
        <v>0</v>
      </c>
      <c r="J88" s="12">
        <f>+Precios!I86*Precios!I$3</f>
        <v>0</v>
      </c>
      <c r="K88" s="12">
        <f>+Precios!J86*Precios!J$3</f>
        <v>0</v>
      </c>
      <c r="L88" s="12">
        <f>+Precios!K86*Precios!K$3</f>
        <v>0</v>
      </c>
      <c r="M88" s="12">
        <f>+Precios!L86*Precios!L$3</f>
        <v>0</v>
      </c>
      <c r="N88" s="12">
        <f>+Precios!M86*Precios!M$3</f>
        <v>0</v>
      </c>
      <c r="O88" s="12">
        <f>+Precios!N86*Precios!N$3</f>
        <v>0</v>
      </c>
      <c r="P88" s="12">
        <f>+Precios!O86*Precios!O$3</f>
        <v>0</v>
      </c>
      <c r="Q88" s="12">
        <f>+Precios!P86*Precios!P$3</f>
        <v>0</v>
      </c>
      <c r="R88" s="12">
        <f>+Precios!Q86*Precios!Q$3</f>
        <v>0</v>
      </c>
      <c r="S88" s="12">
        <f>+Precios!R86*Precios!R$3</f>
        <v>0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31">
        <f t="shared" si="166"/>
        <v>50000</v>
      </c>
      <c r="AW88" s="12"/>
      <c r="AX88" s="12"/>
      <c r="AY88" s="12"/>
      <c r="AZ88" s="12"/>
      <c r="BA88" s="12"/>
      <c r="BB88" s="12"/>
      <c r="BC88" s="12">
        <f t="shared" ref="BC88:BE88" si="172">+BC87</f>
        <v>0</v>
      </c>
      <c r="BD88" s="12">
        <f t="shared" si="172"/>
        <v>0</v>
      </c>
      <c r="BE88" s="12">
        <f t="shared" si="172"/>
        <v>50001</v>
      </c>
      <c r="BF88" s="12">
        <f t="shared" ref="BF88:BJ95" si="173">+BF87</f>
        <v>99960</v>
      </c>
      <c r="BG88" s="12">
        <f t="shared" si="173"/>
        <v>50002.46</v>
      </c>
      <c r="BH88" s="12">
        <f>+Precios!BG86*Precios!BG$3</f>
        <v>0</v>
      </c>
      <c r="BI88" s="12">
        <f>+Precios!BH86*Precios!BH$3</f>
        <v>0</v>
      </c>
      <c r="BJ88" s="12">
        <f>+Precios!BI86*Precios!BI$3</f>
        <v>0</v>
      </c>
      <c r="BK88" s="12">
        <f>+Precios!BJ86*Precios!BJ$3</f>
        <v>0</v>
      </c>
      <c r="BL88" s="12">
        <f>+Precios!BK86*Precios!BK$3</f>
        <v>0</v>
      </c>
      <c r="BM88" s="12">
        <f>+Precios!BL86*Precios!BL$3</f>
        <v>0</v>
      </c>
      <c r="BN88" s="35"/>
      <c r="BO88" s="35"/>
      <c r="BP88" s="35"/>
      <c r="BQ88" s="35"/>
      <c r="BR88" s="35"/>
      <c r="BS88" s="35"/>
      <c r="BT88" s="35"/>
      <c r="BU88" s="35"/>
      <c r="BV88" s="35"/>
    </row>
    <row r="89" spans="1:74" ht="15" thickBot="1">
      <c r="A89" s="5">
        <f t="shared" si="146"/>
        <v>249963.46</v>
      </c>
      <c r="B89" s="15">
        <f>+Precios!A87</f>
        <v>46093</v>
      </c>
      <c r="C89" s="12">
        <f>+Precios!B87*Precios!B$3</f>
        <v>0</v>
      </c>
      <c r="D89" s="12">
        <f>+Precios!C87*Precios!C$3</f>
        <v>0</v>
      </c>
      <c r="E89" s="12">
        <f>+Precios!D87*Precios!D$3</f>
        <v>0</v>
      </c>
      <c r="F89" s="12">
        <f>+Precios!E87*Precios!E$3</f>
        <v>0</v>
      </c>
      <c r="G89" s="12">
        <f>+Precios!F87*Precios!F$3</f>
        <v>0</v>
      </c>
      <c r="H89" s="12">
        <f>+Precios!G87*Precios!G$3</f>
        <v>0</v>
      </c>
      <c r="I89" s="12">
        <f>+Precios!H87*Precios!H$3</f>
        <v>0</v>
      </c>
      <c r="J89" s="12">
        <f>+Precios!I87*Precios!I$3</f>
        <v>0</v>
      </c>
      <c r="K89" s="12">
        <f>+Precios!J87*Precios!J$3</f>
        <v>0</v>
      </c>
      <c r="L89" s="12">
        <f>+Precios!K87*Precios!K$3</f>
        <v>0</v>
      </c>
      <c r="M89" s="12">
        <f>+Precios!L87*Precios!L$3</f>
        <v>0</v>
      </c>
      <c r="N89" s="12">
        <f>+Precios!M87*Precios!M$3</f>
        <v>0</v>
      </c>
      <c r="O89" s="12">
        <f>+Precios!N87*Precios!N$3</f>
        <v>0</v>
      </c>
      <c r="P89" s="12">
        <f>+Precios!O87*Precios!O$3</f>
        <v>0</v>
      </c>
      <c r="Q89" s="12">
        <f>+Precios!P87*Precios!P$3</f>
        <v>0</v>
      </c>
      <c r="R89" s="12">
        <f>+Precios!Q87*Precios!Q$3</f>
        <v>0</v>
      </c>
      <c r="S89" s="12">
        <f>+Precios!R87*Precios!R$3</f>
        <v>0</v>
      </c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31">
        <f t="shared" si="166"/>
        <v>50000</v>
      </c>
      <c r="AW89" s="12"/>
      <c r="AX89" s="12"/>
      <c r="AY89" s="12"/>
      <c r="AZ89" s="12"/>
      <c r="BA89" s="12"/>
      <c r="BB89" s="12"/>
      <c r="BC89" s="12">
        <f t="shared" ref="BC89:BE89" si="174">+BC88</f>
        <v>0</v>
      </c>
      <c r="BD89" s="12">
        <f t="shared" si="174"/>
        <v>0</v>
      </c>
      <c r="BE89" s="12">
        <f t="shared" si="174"/>
        <v>50001</v>
      </c>
      <c r="BF89" s="12">
        <f t="shared" si="173"/>
        <v>99960</v>
      </c>
      <c r="BG89" s="12">
        <f t="shared" si="173"/>
        <v>50002.46</v>
      </c>
      <c r="BH89" s="12">
        <f>+Precios!BG87*Precios!BG$3</f>
        <v>0</v>
      </c>
      <c r="BI89" s="12">
        <f>+Precios!BH87*Precios!BH$3</f>
        <v>0</v>
      </c>
      <c r="BJ89" s="12">
        <f>+Precios!BI87*Precios!BI$3</f>
        <v>0</v>
      </c>
      <c r="BK89" s="12">
        <f>+Precios!BJ87*Precios!BJ$3</f>
        <v>0</v>
      </c>
      <c r="BL89" s="12">
        <f>+Precios!BK87*Precios!BK$3</f>
        <v>0</v>
      </c>
      <c r="BM89" s="12">
        <f>+Precios!BL87*Precios!BL$3</f>
        <v>0</v>
      </c>
      <c r="BN89" s="35"/>
      <c r="BO89" s="35"/>
      <c r="BP89" s="35"/>
      <c r="BQ89" s="35"/>
      <c r="BR89" s="35"/>
      <c r="BS89" s="35"/>
      <c r="BT89" s="35"/>
      <c r="BU89" s="35"/>
      <c r="BV89" s="35"/>
    </row>
    <row r="90" spans="1:74" ht="15" thickBot="1">
      <c r="A90" s="5">
        <f t="shared" si="146"/>
        <v>249963.46</v>
      </c>
      <c r="B90" s="15">
        <f>+Precios!A88</f>
        <v>46094</v>
      </c>
      <c r="C90" s="12">
        <f>+Precios!B88*Precios!B$3</f>
        <v>0</v>
      </c>
      <c r="D90" s="12">
        <f>+Precios!C88*Precios!C$3</f>
        <v>0</v>
      </c>
      <c r="E90" s="12">
        <f>+Precios!D88*Precios!D$3</f>
        <v>0</v>
      </c>
      <c r="F90" s="12">
        <f>+Precios!E88*Precios!E$3</f>
        <v>0</v>
      </c>
      <c r="G90" s="12">
        <f>+Precios!F88*Precios!F$3</f>
        <v>0</v>
      </c>
      <c r="H90" s="12">
        <f>+Precios!G88*Precios!G$3</f>
        <v>0</v>
      </c>
      <c r="I90" s="12">
        <f>+Precios!H88*Precios!H$3</f>
        <v>0</v>
      </c>
      <c r="J90" s="12">
        <f>+Precios!I88*Precios!I$3</f>
        <v>0</v>
      </c>
      <c r="K90" s="12">
        <f>+Precios!J88*Precios!J$3</f>
        <v>0</v>
      </c>
      <c r="L90" s="12">
        <f>+Precios!K88*Precios!K$3</f>
        <v>0</v>
      </c>
      <c r="M90" s="12">
        <f>+Precios!L88*Precios!L$3</f>
        <v>0</v>
      </c>
      <c r="N90" s="12">
        <f>+Precios!M88*Precios!M$3</f>
        <v>0</v>
      </c>
      <c r="O90" s="12">
        <f>+Precios!N88*Precios!N$3</f>
        <v>0</v>
      </c>
      <c r="P90" s="12">
        <f>+Precios!O88*Precios!O$3</f>
        <v>0</v>
      </c>
      <c r="Q90" s="12">
        <f>+Precios!P88*Precios!P$3</f>
        <v>0</v>
      </c>
      <c r="R90" s="12">
        <f>+Precios!Q88*Precios!Q$3</f>
        <v>0</v>
      </c>
      <c r="S90" s="12">
        <f>+Precios!R88*Precios!R$3</f>
        <v>0</v>
      </c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31">
        <f t="shared" si="166"/>
        <v>50000</v>
      </c>
      <c r="AW90" s="12"/>
      <c r="AX90" s="12"/>
      <c r="AY90" s="12"/>
      <c r="AZ90" s="12"/>
      <c r="BA90" s="12"/>
      <c r="BB90" s="12"/>
      <c r="BC90" s="12">
        <f t="shared" ref="BC90:BE90" si="175">+BC89</f>
        <v>0</v>
      </c>
      <c r="BD90" s="12">
        <f t="shared" si="175"/>
        <v>0</v>
      </c>
      <c r="BE90" s="12">
        <f t="shared" si="175"/>
        <v>50001</v>
      </c>
      <c r="BF90" s="12">
        <f t="shared" si="173"/>
        <v>99960</v>
      </c>
      <c r="BG90" s="12">
        <f t="shared" si="173"/>
        <v>50002.46</v>
      </c>
      <c r="BH90" s="12">
        <f t="shared" si="173"/>
        <v>0</v>
      </c>
      <c r="BI90" s="12">
        <f>+Precios!BH88*Precios!BH$3</f>
        <v>0</v>
      </c>
      <c r="BJ90" s="12">
        <f>+Precios!BI88*Precios!BI$3</f>
        <v>0</v>
      </c>
      <c r="BK90" s="12">
        <f>+Precios!BJ88*Precios!BJ$3</f>
        <v>0</v>
      </c>
      <c r="BL90" s="12">
        <f>+Precios!BK88*Precios!BK$3</f>
        <v>0</v>
      </c>
      <c r="BM90" s="12">
        <f>+Precios!BL88*Precios!BL$3</f>
        <v>0</v>
      </c>
      <c r="BN90" s="35"/>
      <c r="BO90" s="35"/>
      <c r="BP90" s="35"/>
      <c r="BQ90" s="35"/>
      <c r="BR90" s="35"/>
      <c r="BS90" s="35"/>
      <c r="BT90" s="35"/>
      <c r="BU90" s="35"/>
      <c r="BV90" s="35"/>
    </row>
    <row r="91" spans="1:74" ht="15" thickBot="1">
      <c r="A91" s="5">
        <f t="shared" si="146"/>
        <v>249963.46</v>
      </c>
      <c r="B91" s="15">
        <f>+Precios!A89</f>
        <v>46097</v>
      </c>
      <c r="C91" s="12">
        <f>+Precios!B89*Precios!B$3</f>
        <v>0</v>
      </c>
      <c r="D91" s="12">
        <f>+Precios!C89*Precios!C$3</f>
        <v>0</v>
      </c>
      <c r="E91" s="12">
        <f>+Precios!D89*Precios!D$3</f>
        <v>0</v>
      </c>
      <c r="F91" s="12">
        <f>+Precios!E89*Precios!E$3</f>
        <v>0</v>
      </c>
      <c r="G91" s="12">
        <f>+Precios!F89*Precios!F$3</f>
        <v>0</v>
      </c>
      <c r="H91" s="12">
        <f>+Precios!G89*Precios!G$3</f>
        <v>0</v>
      </c>
      <c r="I91" s="12">
        <f>+Precios!H89*Precios!H$3</f>
        <v>0</v>
      </c>
      <c r="J91" s="12">
        <f>+Precios!I89*Precios!I$3</f>
        <v>0</v>
      </c>
      <c r="K91" s="12">
        <f>+Precios!J89*Precios!J$3</f>
        <v>0</v>
      </c>
      <c r="L91" s="12">
        <f>+Precios!K89*Precios!K$3</f>
        <v>0</v>
      </c>
      <c r="M91" s="12">
        <f>+Precios!L89*Precios!L$3</f>
        <v>0</v>
      </c>
      <c r="N91" s="12">
        <f>+Precios!M89*Precios!M$3</f>
        <v>0</v>
      </c>
      <c r="O91" s="12">
        <f>+Precios!N89*Precios!N$3</f>
        <v>0</v>
      </c>
      <c r="P91" s="12">
        <f>+Precios!O89*Precios!O$3</f>
        <v>0</v>
      </c>
      <c r="Q91" s="12">
        <f>+Precios!P89*Precios!P$3</f>
        <v>0</v>
      </c>
      <c r="R91" s="12">
        <f>+Precios!Q89*Precios!Q$3</f>
        <v>0</v>
      </c>
      <c r="S91" s="12">
        <f>+Precios!R89*Precios!R$3</f>
        <v>0</v>
      </c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31">
        <f t="shared" si="166"/>
        <v>50000</v>
      </c>
      <c r="AW91" s="12"/>
      <c r="AX91" s="12"/>
      <c r="AY91" s="12"/>
      <c r="AZ91" s="12"/>
      <c r="BA91" s="12"/>
      <c r="BB91" s="12"/>
      <c r="BC91" s="12">
        <f t="shared" ref="BC91:BH91" si="176">+BC90</f>
        <v>0</v>
      </c>
      <c r="BD91" s="12">
        <f t="shared" si="176"/>
        <v>0</v>
      </c>
      <c r="BE91" s="12">
        <f t="shared" si="176"/>
        <v>50001</v>
      </c>
      <c r="BF91" s="12">
        <f t="shared" si="176"/>
        <v>99960</v>
      </c>
      <c r="BG91" s="12">
        <f t="shared" si="176"/>
        <v>50002.46</v>
      </c>
      <c r="BH91" s="12">
        <f t="shared" si="176"/>
        <v>0</v>
      </c>
      <c r="BI91" s="12">
        <f>+Precios!BH89*Precios!BH$3</f>
        <v>0</v>
      </c>
      <c r="BJ91" s="12">
        <f>+Precios!BI89*Precios!BI$3</f>
        <v>0</v>
      </c>
      <c r="BK91" s="12">
        <f>+Precios!BJ89*Precios!BJ$3</f>
        <v>0</v>
      </c>
      <c r="BL91" s="12">
        <f>+Precios!BK89*Precios!BK$3</f>
        <v>0</v>
      </c>
      <c r="BM91" s="12">
        <f>+Precios!BL89*Precios!BL$3</f>
        <v>0</v>
      </c>
      <c r="BN91" s="35"/>
      <c r="BO91" s="35"/>
      <c r="BP91" s="35"/>
      <c r="BQ91" s="35"/>
      <c r="BR91" s="35"/>
      <c r="BS91" s="35"/>
      <c r="BT91" s="35"/>
      <c r="BU91" s="35"/>
      <c r="BV91" s="35"/>
    </row>
    <row r="92" spans="1:74" ht="15" thickBot="1">
      <c r="A92" s="5">
        <f t="shared" si="146"/>
        <v>249963.46</v>
      </c>
      <c r="B92" s="15">
        <f>+Precios!A90</f>
        <v>46098</v>
      </c>
      <c r="C92" s="12">
        <f>+Precios!B90*Precios!B$3</f>
        <v>0</v>
      </c>
      <c r="D92" s="12">
        <f>+Precios!C90*Precios!C$3</f>
        <v>0</v>
      </c>
      <c r="E92" s="12">
        <f>+Precios!D90*Precios!D$3</f>
        <v>0</v>
      </c>
      <c r="F92" s="12">
        <f>+Precios!E90*Precios!E$3</f>
        <v>0</v>
      </c>
      <c r="G92" s="12">
        <f>+Precios!F90*Precios!F$3</f>
        <v>0</v>
      </c>
      <c r="H92" s="12">
        <f>+Precios!G90*Precios!G$3</f>
        <v>0</v>
      </c>
      <c r="I92" s="12">
        <f>+Precios!H90*Precios!H$3</f>
        <v>0</v>
      </c>
      <c r="J92" s="12">
        <f>+Precios!I90*Precios!I$3</f>
        <v>0</v>
      </c>
      <c r="K92" s="12">
        <f>+Precios!J90*Precios!J$3</f>
        <v>0</v>
      </c>
      <c r="L92" s="12">
        <f>+Precios!K90*Precios!K$3</f>
        <v>0</v>
      </c>
      <c r="M92" s="12">
        <f>+Precios!L90*Precios!L$3</f>
        <v>0</v>
      </c>
      <c r="N92" s="12">
        <f>+Precios!M90*Precios!M$3</f>
        <v>0</v>
      </c>
      <c r="O92" s="12">
        <f>+Precios!N90*Precios!N$3</f>
        <v>0</v>
      </c>
      <c r="P92" s="12">
        <f>+Precios!O90*Precios!O$3</f>
        <v>0</v>
      </c>
      <c r="Q92" s="12">
        <f>+Precios!P90*Precios!P$3</f>
        <v>0</v>
      </c>
      <c r="R92" s="12">
        <f>+Precios!Q90*Precios!Q$3</f>
        <v>0</v>
      </c>
      <c r="S92" s="12">
        <f>+Precios!R90*Precios!R$3</f>
        <v>0</v>
      </c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31">
        <f t="shared" si="166"/>
        <v>50000</v>
      </c>
      <c r="AW92" s="12"/>
      <c r="AX92" s="12"/>
      <c r="AY92" s="12"/>
      <c r="AZ92" s="12"/>
      <c r="BA92" s="12"/>
      <c r="BB92" s="12"/>
      <c r="BC92" s="12">
        <f t="shared" ref="BC92:BH92" si="177">+BC91</f>
        <v>0</v>
      </c>
      <c r="BD92" s="12">
        <f t="shared" si="177"/>
        <v>0</v>
      </c>
      <c r="BE92" s="12">
        <f t="shared" si="177"/>
        <v>50001</v>
      </c>
      <c r="BF92" s="12">
        <f t="shared" si="177"/>
        <v>99960</v>
      </c>
      <c r="BG92" s="12">
        <f t="shared" si="177"/>
        <v>50002.46</v>
      </c>
      <c r="BH92" s="12">
        <f t="shared" si="177"/>
        <v>0</v>
      </c>
      <c r="BI92" s="12">
        <f t="shared" si="173"/>
        <v>0</v>
      </c>
      <c r="BJ92" s="12">
        <f>+Precios!BI90*Precios!BI$3</f>
        <v>0</v>
      </c>
      <c r="BK92" s="12">
        <f>+Precios!BJ90*Precios!BJ$3</f>
        <v>0</v>
      </c>
      <c r="BL92" s="12">
        <f>+Precios!BK90*Precios!BK$3</f>
        <v>0</v>
      </c>
      <c r="BM92" s="12">
        <f>+Precios!BL90*Precios!BL$3</f>
        <v>0</v>
      </c>
      <c r="BN92" s="35"/>
      <c r="BO92" s="35"/>
      <c r="BP92" s="35"/>
      <c r="BQ92" s="35"/>
      <c r="BR92" s="35"/>
      <c r="BS92" s="35"/>
      <c r="BT92" s="35"/>
      <c r="BU92" s="35"/>
      <c r="BV92" s="35"/>
    </row>
    <row r="93" spans="1:74" ht="15" thickBot="1">
      <c r="A93" s="5">
        <f t="shared" si="146"/>
        <v>249963.46</v>
      </c>
      <c r="B93" s="15">
        <f>+Precios!A91</f>
        <v>46099</v>
      </c>
      <c r="C93" s="12">
        <f>+Precios!B91*Precios!B$3</f>
        <v>0</v>
      </c>
      <c r="D93" s="12">
        <f>+Precios!C91*Precios!C$3</f>
        <v>0</v>
      </c>
      <c r="E93" s="12">
        <f>+Precios!D91*Precios!D$3</f>
        <v>0</v>
      </c>
      <c r="F93" s="12">
        <f>+Precios!E91*Precios!E$3</f>
        <v>0</v>
      </c>
      <c r="G93" s="12">
        <f>+Precios!F91*Precios!F$3</f>
        <v>0</v>
      </c>
      <c r="H93" s="12">
        <f>+Precios!G91*Precios!G$3</f>
        <v>0</v>
      </c>
      <c r="I93" s="12">
        <f>+Precios!H91*Precios!H$3</f>
        <v>0</v>
      </c>
      <c r="J93" s="12">
        <f>+Precios!I91*Precios!I$3</f>
        <v>0</v>
      </c>
      <c r="K93" s="12">
        <f>+Precios!J91*Precios!J$3</f>
        <v>0</v>
      </c>
      <c r="L93" s="12">
        <f>+Precios!K91*Precios!K$3</f>
        <v>0</v>
      </c>
      <c r="M93" s="12">
        <f>+Precios!L91*Precios!L$3</f>
        <v>0</v>
      </c>
      <c r="N93" s="12">
        <f>+Precios!M91*Precios!M$3</f>
        <v>0</v>
      </c>
      <c r="O93" s="12">
        <f>+Precios!N91*Precios!N$3</f>
        <v>0</v>
      </c>
      <c r="P93" s="12">
        <f>+Precios!O91*Precios!O$3</f>
        <v>0</v>
      </c>
      <c r="Q93" s="12">
        <f>+Precios!P91*Precios!P$3</f>
        <v>0</v>
      </c>
      <c r="R93" s="12">
        <f>+Precios!Q91*Precios!Q$3</f>
        <v>0</v>
      </c>
      <c r="S93" s="12">
        <f>+Precios!R91*Precios!R$3</f>
        <v>0</v>
      </c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31">
        <f t="shared" si="166"/>
        <v>50000</v>
      </c>
      <c r="AW93" s="12"/>
      <c r="AX93" s="12"/>
      <c r="AY93" s="12"/>
      <c r="AZ93" s="12"/>
      <c r="BA93" s="12"/>
      <c r="BB93" s="12"/>
      <c r="BC93" s="12">
        <f t="shared" ref="BC93:BH93" si="178">+BC92</f>
        <v>0</v>
      </c>
      <c r="BD93" s="12">
        <f t="shared" si="178"/>
        <v>0</v>
      </c>
      <c r="BE93" s="12">
        <f t="shared" si="178"/>
        <v>50001</v>
      </c>
      <c r="BF93" s="12">
        <f t="shared" si="178"/>
        <v>99960</v>
      </c>
      <c r="BG93" s="12">
        <f t="shared" si="178"/>
        <v>50002.46</v>
      </c>
      <c r="BH93" s="12">
        <f t="shared" si="178"/>
        <v>0</v>
      </c>
      <c r="BI93" s="12">
        <f t="shared" si="173"/>
        <v>0</v>
      </c>
      <c r="BJ93" s="12">
        <f>+Precios!BI91*Precios!BI$3</f>
        <v>0</v>
      </c>
      <c r="BK93" s="12">
        <f>+Precios!BJ91*Precios!BJ$3</f>
        <v>0</v>
      </c>
      <c r="BL93" s="12">
        <f>+Precios!BK91*Precios!BK$3</f>
        <v>0</v>
      </c>
      <c r="BM93" s="12">
        <f>+Precios!BL91*Precios!BL$3</f>
        <v>0</v>
      </c>
      <c r="BN93" s="35"/>
      <c r="BO93" s="35"/>
      <c r="BP93" s="35"/>
      <c r="BQ93" s="35"/>
      <c r="BR93" s="35"/>
      <c r="BS93" s="35"/>
      <c r="BT93" s="35"/>
      <c r="BU93" s="35"/>
      <c r="BV93" s="35"/>
    </row>
    <row r="94" spans="1:74" ht="15" thickBot="1">
      <c r="A94" s="5">
        <f t="shared" si="146"/>
        <v>299963.45999999996</v>
      </c>
      <c r="B94" s="15">
        <f>+Precios!A92</f>
        <v>46100</v>
      </c>
      <c r="C94" s="12">
        <f>+Precios!B92*Precios!B$3</f>
        <v>0</v>
      </c>
      <c r="D94" s="12">
        <f>+Precios!C92*Precios!C$3</f>
        <v>0</v>
      </c>
      <c r="E94" s="12">
        <f>+Precios!D92*Precios!D$3</f>
        <v>0</v>
      </c>
      <c r="F94" s="12">
        <f>+Precios!E92*Precios!E$3</f>
        <v>0</v>
      </c>
      <c r="G94" s="12">
        <f>+Precios!F92*Precios!F$3</f>
        <v>0</v>
      </c>
      <c r="H94" s="12">
        <f>+Precios!G92*Precios!G$3</f>
        <v>0</v>
      </c>
      <c r="I94" s="12">
        <f>+Precios!H92*Precios!H$3</f>
        <v>0</v>
      </c>
      <c r="J94" s="12">
        <f>+Precios!I92*Precios!I$3</f>
        <v>0</v>
      </c>
      <c r="K94" s="12">
        <f>+Precios!J92*Precios!J$3</f>
        <v>0</v>
      </c>
      <c r="L94" s="12">
        <f>+Precios!K92*Precios!K$3</f>
        <v>0</v>
      </c>
      <c r="M94" s="12">
        <f>+Precios!L92*Precios!L$3</f>
        <v>0</v>
      </c>
      <c r="N94" s="12">
        <f>+Precios!M92*Precios!M$3</f>
        <v>0</v>
      </c>
      <c r="O94" s="12">
        <f>+Precios!N92*Precios!N$3</f>
        <v>0</v>
      </c>
      <c r="P94" s="12">
        <f>+Precios!O92*Precios!O$3</f>
        <v>0</v>
      </c>
      <c r="Q94" s="12">
        <f>+Precios!P92*Precios!P$3</f>
        <v>0</v>
      </c>
      <c r="R94" s="12">
        <f>+Precios!Q92*Precios!Q$3</f>
        <v>0</v>
      </c>
      <c r="S94" s="12">
        <f>+Precios!R92*Precios!R$3</f>
        <v>0</v>
      </c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31">
        <f t="shared" si="166"/>
        <v>50000</v>
      </c>
      <c r="AW94" s="12"/>
      <c r="AX94" s="12"/>
      <c r="AY94" s="12"/>
      <c r="AZ94" s="12"/>
      <c r="BA94" s="12"/>
      <c r="BB94" s="12"/>
      <c r="BC94" s="12">
        <f t="shared" ref="BC94:BH94" si="179">+BC93</f>
        <v>0</v>
      </c>
      <c r="BD94" s="12">
        <f t="shared" si="179"/>
        <v>0</v>
      </c>
      <c r="BE94" s="12">
        <f t="shared" si="179"/>
        <v>50001</v>
      </c>
      <c r="BF94" s="12">
        <f t="shared" si="179"/>
        <v>99960</v>
      </c>
      <c r="BG94" s="12">
        <f t="shared" si="179"/>
        <v>50002.46</v>
      </c>
      <c r="BH94" s="12">
        <f t="shared" si="179"/>
        <v>0</v>
      </c>
      <c r="BI94" s="12">
        <f t="shared" si="173"/>
        <v>0</v>
      </c>
      <c r="BJ94" s="12">
        <v>50000</v>
      </c>
      <c r="BK94" s="12">
        <f>+Precios!BJ92*Precios!BJ$3</f>
        <v>0</v>
      </c>
      <c r="BL94" s="12">
        <f>+Precios!BK92*Precios!BK$3</f>
        <v>0</v>
      </c>
      <c r="BM94" s="12">
        <f>+Precios!BL92*Precios!BL$3</f>
        <v>0</v>
      </c>
      <c r="BN94" s="35"/>
      <c r="BO94" s="35"/>
      <c r="BP94" s="35"/>
      <c r="BQ94" s="35"/>
      <c r="BR94" s="35"/>
      <c r="BS94" s="35"/>
      <c r="BT94" s="35"/>
      <c r="BU94" s="35"/>
      <c r="BV94" s="35"/>
    </row>
    <row r="95" spans="1:74" ht="15" thickBot="1">
      <c r="A95" s="5">
        <f t="shared" si="146"/>
        <v>299963.45999999996</v>
      </c>
      <c r="B95" s="15">
        <f>+Precios!A93</f>
        <v>46101</v>
      </c>
      <c r="C95" s="12">
        <f>+Precios!B93*Precios!B$3</f>
        <v>0</v>
      </c>
      <c r="D95" s="12">
        <f>+Precios!C93*Precios!C$3</f>
        <v>0</v>
      </c>
      <c r="E95" s="12">
        <f>+Precios!D93*Precios!D$3</f>
        <v>0</v>
      </c>
      <c r="F95" s="12">
        <f>+Precios!E93*Precios!E$3</f>
        <v>0</v>
      </c>
      <c r="G95" s="12">
        <f>+Precios!F93*Precios!F$3</f>
        <v>0</v>
      </c>
      <c r="H95" s="12">
        <f>+Precios!G93*Precios!G$3</f>
        <v>0</v>
      </c>
      <c r="I95" s="12">
        <f>+Precios!H93*Precios!H$3</f>
        <v>0</v>
      </c>
      <c r="J95" s="12">
        <f>+Precios!I93*Precios!I$3</f>
        <v>0</v>
      </c>
      <c r="K95" s="12">
        <f>+Precios!J93*Precios!J$3</f>
        <v>0</v>
      </c>
      <c r="L95" s="12">
        <f>+Precios!K93*Precios!K$3</f>
        <v>0</v>
      </c>
      <c r="M95" s="12">
        <f>+Precios!L93*Precios!L$3</f>
        <v>0</v>
      </c>
      <c r="N95" s="12">
        <f>+Precios!M93*Precios!M$3</f>
        <v>0</v>
      </c>
      <c r="O95" s="12">
        <f>+Precios!N93*Precios!N$3</f>
        <v>0</v>
      </c>
      <c r="P95" s="12">
        <f>+Precios!O93*Precios!O$3</f>
        <v>0</v>
      </c>
      <c r="Q95" s="12">
        <f>+Precios!P93*Precios!P$3</f>
        <v>0</v>
      </c>
      <c r="R95" s="12">
        <f>+Precios!Q93*Precios!Q$3</f>
        <v>0</v>
      </c>
      <c r="S95" s="12">
        <f>+Precios!R93*Precios!R$3</f>
        <v>0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31">
        <f t="shared" si="166"/>
        <v>50000</v>
      </c>
      <c r="AW95" s="12"/>
      <c r="AX95" s="12"/>
      <c r="AY95" s="12"/>
      <c r="AZ95" s="12"/>
      <c r="BA95" s="12"/>
      <c r="BB95" s="12"/>
      <c r="BC95" s="12">
        <f t="shared" ref="BC95" si="180">+BC94</f>
        <v>0</v>
      </c>
      <c r="BD95" s="12"/>
      <c r="BE95" s="12">
        <f t="shared" ref="BE95:BG95" si="181">+BE94</f>
        <v>50001</v>
      </c>
      <c r="BF95" s="12">
        <f t="shared" si="181"/>
        <v>99960</v>
      </c>
      <c r="BG95" s="12">
        <f t="shared" si="181"/>
        <v>50002.46</v>
      </c>
      <c r="BH95" s="12"/>
      <c r="BI95" s="12"/>
      <c r="BJ95" s="12">
        <f t="shared" si="173"/>
        <v>50000</v>
      </c>
      <c r="BK95" s="12">
        <f>+Precios!BJ93*Precios!BJ$3</f>
        <v>0</v>
      </c>
      <c r="BL95" s="12">
        <f>+Precios!BK93*Precios!BK$3</f>
        <v>0</v>
      </c>
      <c r="BM95" s="12">
        <f>+Precios!BL93*Precios!BL$3</f>
        <v>0</v>
      </c>
      <c r="BN95" s="35"/>
      <c r="BO95" s="35"/>
      <c r="BP95" s="35"/>
      <c r="BQ95" s="35"/>
      <c r="BR95" s="35"/>
      <c r="BS95" s="35"/>
      <c r="BT95" s="35"/>
      <c r="BU95" s="35"/>
      <c r="BV95" s="35"/>
    </row>
    <row r="96" spans="1:74" ht="15" thickBot="1">
      <c r="A96" s="5">
        <f t="shared" si="146"/>
        <v>299963.45999999996</v>
      </c>
      <c r="B96" s="15">
        <f>+Precios!A94</f>
        <v>46104</v>
      </c>
      <c r="C96" s="12">
        <f>+Precios!B94*Precios!B$3</f>
        <v>0</v>
      </c>
      <c r="D96" s="12">
        <f>+Precios!C94*Precios!C$3</f>
        <v>0</v>
      </c>
      <c r="E96" s="12">
        <f>+Precios!D94*Precios!D$3</f>
        <v>0</v>
      </c>
      <c r="F96" s="12">
        <f>+Precios!E94*Precios!E$3</f>
        <v>0</v>
      </c>
      <c r="G96" s="12">
        <f>+Precios!F94*Precios!F$3</f>
        <v>0</v>
      </c>
      <c r="H96" s="12">
        <f>+Precios!G94*Precios!G$3</f>
        <v>0</v>
      </c>
      <c r="I96" s="12">
        <f>+Precios!H94*Precios!H$3</f>
        <v>0</v>
      </c>
      <c r="J96" s="12">
        <f>+Precios!I94*Precios!I$3</f>
        <v>0</v>
      </c>
      <c r="K96" s="12">
        <f>+Precios!J94*Precios!J$3</f>
        <v>0</v>
      </c>
      <c r="L96" s="12">
        <f>+Precios!K94*Precios!K$3</f>
        <v>0</v>
      </c>
      <c r="M96" s="12">
        <f>+Precios!L94*Precios!L$3</f>
        <v>0</v>
      </c>
      <c r="N96" s="12">
        <f>+Precios!M94*Precios!M$3</f>
        <v>0</v>
      </c>
      <c r="O96" s="12">
        <f>+Precios!N94*Precios!N$3</f>
        <v>0</v>
      </c>
      <c r="P96" s="12">
        <f>+Precios!O94*Precios!O$3</f>
        <v>0</v>
      </c>
      <c r="Q96" s="12">
        <f>+Precios!P94*Precios!P$3</f>
        <v>0</v>
      </c>
      <c r="R96" s="12">
        <f>+Precios!Q94*Precios!Q$3</f>
        <v>0</v>
      </c>
      <c r="S96" s="12">
        <f>+Precios!R94*Precios!R$3</f>
        <v>0</v>
      </c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31">
        <f t="shared" si="166"/>
        <v>50000</v>
      </c>
      <c r="AW96" s="12"/>
      <c r="AX96" s="12"/>
      <c r="AY96" s="12"/>
      <c r="AZ96" s="12"/>
      <c r="BA96" s="12"/>
      <c r="BB96" s="12"/>
      <c r="BC96" s="12">
        <f t="shared" ref="BC96" si="182">+BC95</f>
        <v>0</v>
      </c>
      <c r="BD96" s="12"/>
      <c r="BE96" s="12">
        <f t="shared" ref="BE96:BG96" si="183">+BE95</f>
        <v>50001</v>
      </c>
      <c r="BF96" s="12">
        <f t="shared" si="183"/>
        <v>99960</v>
      </c>
      <c r="BG96" s="12">
        <f t="shared" si="183"/>
        <v>50002.46</v>
      </c>
      <c r="BH96" s="12"/>
      <c r="BI96" s="12"/>
      <c r="BJ96" s="12">
        <f t="shared" ref="BJ96" si="184">+BJ95</f>
        <v>50000</v>
      </c>
      <c r="BK96" s="12">
        <f>+Precios!BJ94*Precios!BJ$3</f>
        <v>0</v>
      </c>
      <c r="BL96" s="12">
        <f>+Precios!BK94*Precios!BK$3</f>
        <v>0</v>
      </c>
      <c r="BM96" s="12">
        <f>+Precios!BL94*Precios!BL$3</f>
        <v>0</v>
      </c>
      <c r="BN96" s="35"/>
      <c r="BO96" s="35"/>
      <c r="BP96" s="35"/>
      <c r="BQ96" s="35"/>
      <c r="BR96" s="35"/>
      <c r="BS96" s="35"/>
      <c r="BT96" s="35"/>
      <c r="BU96" s="35"/>
      <c r="BV96" s="35"/>
    </row>
    <row r="97" spans="1:105" ht="15" thickBot="1">
      <c r="A97" s="5">
        <f t="shared" si="146"/>
        <v>299963.45999999996</v>
      </c>
      <c r="B97" s="15">
        <f>+Precios!A95</f>
        <v>46105</v>
      </c>
      <c r="C97" s="12">
        <f>+Precios!B95*Precios!B$3</f>
        <v>0</v>
      </c>
      <c r="D97" s="12">
        <f>+Precios!C95*Precios!C$3</f>
        <v>0</v>
      </c>
      <c r="E97" s="12">
        <f>+Precios!D95*Precios!D$3</f>
        <v>0</v>
      </c>
      <c r="F97" s="12">
        <f>+Precios!E95*Precios!E$3</f>
        <v>0</v>
      </c>
      <c r="G97" s="12">
        <f>+Precios!F95*Precios!F$3</f>
        <v>0</v>
      </c>
      <c r="H97" s="12">
        <f>+Precios!G95*Precios!G$3</f>
        <v>0</v>
      </c>
      <c r="I97" s="12">
        <f>+Precios!H95*Precios!H$3</f>
        <v>0</v>
      </c>
      <c r="J97" s="12">
        <f>+Precios!I95*Precios!I$3</f>
        <v>0</v>
      </c>
      <c r="K97" s="12">
        <f>+Precios!J95*Precios!J$3</f>
        <v>0</v>
      </c>
      <c r="L97" s="12">
        <f>+Precios!K95*Precios!K$3</f>
        <v>0</v>
      </c>
      <c r="M97" s="12">
        <f>+Precios!L95*Precios!L$3</f>
        <v>0</v>
      </c>
      <c r="N97" s="12">
        <f>+Precios!M95*Precios!M$3</f>
        <v>0</v>
      </c>
      <c r="O97" s="12">
        <f>+Precios!N95*Precios!N$3</f>
        <v>0</v>
      </c>
      <c r="P97" s="12">
        <f>+Precios!O95*Precios!O$3</f>
        <v>0</v>
      </c>
      <c r="Q97" s="12">
        <f>+Precios!P95*Precios!P$3</f>
        <v>0</v>
      </c>
      <c r="R97" s="12">
        <f>+Precios!Q95*Precios!Q$3</f>
        <v>0</v>
      </c>
      <c r="S97" s="12">
        <f>+Precios!R95*Precios!R$3</f>
        <v>0</v>
      </c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31">
        <f t="shared" si="166"/>
        <v>50000</v>
      </c>
      <c r="AW97" s="12"/>
      <c r="AX97" s="12"/>
      <c r="AY97" s="12"/>
      <c r="AZ97" s="12"/>
      <c r="BA97" s="12"/>
      <c r="BB97" s="12"/>
      <c r="BC97" s="12">
        <f t="shared" ref="BC97" si="185">+BC96</f>
        <v>0</v>
      </c>
      <c r="BD97" s="12"/>
      <c r="BE97" s="12">
        <f t="shared" ref="BE97:BG97" si="186">+BE96</f>
        <v>50001</v>
      </c>
      <c r="BF97" s="12">
        <f t="shared" si="186"/>
        <v>99960</v>
      </c>
      <c r="BG97" s="12">
        <f t="shared" si="186"/>
        <v>50002.46</v>
      </c>
      <c r="BH97" s="12"/>
      <c r="BI97" s="12"/>
      <c r="BJ97" s="12">
        <f t="shared" ref="BJ97" si="187">+BJ96</f>
        <v>50000</v>
      </c>
      <c r="BK97" s="12">
        <f>+Precios!BJ95*Precios!BJ$3</f>
        <v>0</v>
      </c>
      <c r="BL97" s="12">
        <f>+Precios!BK95*Precios!BK$3</f>
        <v>0</v>
      </c>
      <c r="BM97" s="12">
        <f>+Precios!BL95*Precios!BL$3</f>
        <v>0</v>
      </c>
      <c r="BN97" s="35"/>
      <c r="BO97" s="35"/>
      <c r="BP97" s="35"/>
      <c r="BQ97" s="35"/>
      <c r="BR97" s="35"/>
      <c r="BS97" s="35"/>
      <c r="BT97" s="35"/>
      <c r="BU97" s="35"/>
      <c r="BV97" s="35"/>
    </row>
    <row r="98" spans="1:105" ht="15" thickBot="1">
      <c r="A98" s="5">
        <f t="shared" si="146"/>
        <v>249963.46</v>
      </c>
      <c r="B98" s="15">
        <f>+Precios!A96</f>
        <v>46106</v>
      </c>
      <c r="C98" s="12">
        <f>+Precios!B96*Precios!B$3</f>
        <v>0</v>
      </c>
      <c r="D98" s="12">
        <f>+Precios!C96*Precios!C$3</f>
        <v>0</v>
      </c>
      <c r="E98" s="12">
        <f>+Precios!D96*Precios!D$3</f>
        <v>0</v>
      </c>
      <c r="F98" s="12">
        <f>+Precios!E96*Precios!E$3</f>
        <v>0</v>
      </c>
      <c r="G98" s="12">
        <f>+Precios!F96*Precios!F$3</f>
        <v>0</v>
      </c>
      <c r="H98" s="12">
        <f>+Precios!G96*Precios!G$3</f>
        <v>0</v>
      </c>
      <c r="I98" s="12">
        <f>+Precios!H96*Precios!H$3</f>
        <v>0</v>
      </c>
      <c r="J98" s="12">
        <f>+Precios!I96*Precios!I$3</f>
        <v>0</v>
      </c>
      <c r="K98" s="12">
        <f>+Precios!J96*Precios!J$3</f>
        <v>0</v>
      </c>
      <c r="L98" s="12">
        <f>+Precios!K96*Precios!K$3</f>
        <v>0</v>
      </c>
      <c r="M98" s="12">
        <f>+Precios!L96*Precios!L$3</f>
        <v>0</v>
      </c>
      <c r="N98" s="12">
        <f>+Precios!M96*Precios!M$3</f>
        <v>0</v>
      </c>
      <c r="O98" s="12">
        <f>+Precios!N96*Precios!N$3</f>
        <v>0</v>
      </c>
      <c r="P98" s="12">
        <f>+Precios!O96*Precios!O$3</f>
        <v>0</v>
      </c>
      <c r="Q98" s="12">
        <f>+Precios!P96*Precios!P$3</f>
        <v>0</v>
      </c>
      <c r="R98" s="12">
        <f>+Precios!Q96*Precios!Q$3</f>
        <v>0</v>
      </c>
      <c r="S98" s="12">
        <f>+Precios!R96*Precios!R$3</f>
        <v>0</v>
      </c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31">
        <f t="shared" si="166"/>
        <v>50000</v>
      </c>
      <c r="AW98" s="12"/>
      <c r="AX98" s="12"/>
      <c r="AY98" s="12"/>
      <c r="AZ98" s="12"/>
      <c r="BA98" s="12"/>
      <c r="BB98" s="12"/>
      <c r="BC98" s="12">
        <f t="shared" ref="BC98" si="188">+BC97</f>
        <v>0</v>
      </c>
      <c r="BD98" s="12"/>
      <c r="BE98" s="12">
        <f t="shared" ref="BE98:BG98" si="189">+BE97</f>
        <v>50001</v>
      </c>
      <c r="BF98" s="12">
        <f t="shared" si="189"/>
        <v>99960</v>
      </c>
      <c r="BG98" s="12">
        <f t="shared" si="189"/>
        <v>50002.46</v>
      </c>
      <c r="BH98" s="12"/>
      <c r="BI98" s="12"/>
      <c r="BJ98" s="12"/>
      <c r="BK98" s="12">
        <f>+Precios!BJ96*Precios!BJ$3</f>
        <v>0</v>
      </c>
      <c r="BL98" s="12">
        <f>+Precios!BK96*Precios!BK$3</f>
        <v>0</v>
      </c>
      <c r="BM98" s="12">
        <f>+Precios!BL96*Precios!BL$3</f>
        <v>0</v>
      </c>
      <c r="BN98" s="35"/>
      <c r="BO98" s="35"/>
      <c r="BP98" s="35"/>
      <c r="BQ98" s="35"/>
      <c r="BR98" s="35"/>
      <c r="BS98" s="35"/>
      <c r="BT98" s="35"/>
      <c r="BU98" s="35"/>
      <c r="BV98" s="35"/>
    </row>
    <row r="99" spans="1:105" ht="15" thickBot="1">
      <c r="A99" s="5">
        <f t="shared" si="146"/>
        <v>249963.46</v>
      </c>
      <c r="B99" s="15">
        <f>+Precios!A97</f>
        <v>46107</v>
      </c>
      <c r="C99" s="12">
        <f>+Precios!B97*Precios!B$3</f>
        <v>0</v>
      </c>
      <c r="D99" s="12">
        <f>+Precios!C97*Precios!C$3</f>
        <v>0</v>
      </c>
      <c r="E99" s="12">
        <f>+Precios!D97*Precios!D$3</f>
        <v>0</v>
      </c>
      <c r="F99" s="12">
        <f>+Precios!E97*Precios!E$3</f>
        <v>0</v>
      </c>
      <c r="G99" s="12">
        <f>+Precios!F97*Precios!F$3</f>
        <v>0</v>
      </c>
      <c r="H99" s="12">
        <f>+Precios!G97*Precios!G$3</f>
        <v>0</v>
      </c>
      <c r="I99" s="12">
        <f>+Precios!H97*Precios!H$3</f>
        <v>0</v>
      </c>
      <c r="J99" s="12">
        <f>+Precios!I97*Precios!I$3</f>
        <v>0</v>
      </c>
      <c r="K99" s="12">
        <f>+Precios!J97*Precios!J$3</f>
        <v>0</v>
      </c>
      <c r="L99" s="12">
        <f>+Precios!K97*Precios!K$3</f>
        <v>0</v>
      </c>
      <c r="M99" s="12">
        <f>+Precios!L97*Precios!L$3</f>
        <v>0</v>
      </c>
      <c r="N99" s="12">
        <f>+Precios!M97*Precios!M$3</f>
        <v>0</v>
      </c>
      <c r="O99" s="12">
        <f>+Precios!N97*Precios!N$3</f>
        <v>0</v>
      </c>
      <c r="P99" s="12">
        <f>+Precios!O97*Precios!O$3</f>
        <v>0</v>
      </c>
      <c r="Q99" s="12">
        <f>+Precios!P97*Precios!P$3</f>
        <v>0</v>
      </c>
      <c r="R99" s="12">
        <f>+Precios!Q97*Precios!Q$3</f>
        <v>0</v>
      </c>
      <c r="S99" s="12">
        <f>+Precios!R97*Precios!R$3</f>
        <v>0</v>
      </c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31">
        <f t="shared" si="166"/>
        <v>50000</v>
      </c>
      <c r="AW99" s="12"/>
      <c r="AX99" s="12"/>
      <c r="AY99" s="12"/>
      <c r="AZ99" s="12"/>
      <c r="BA99" s="12"/>
      <c r="BB99" s="12"/>
      <c r="BC99" s="12">
        <f t="shared" ref="BC99" si="190">+BC98</f>
        <v>0</v>
      </c>
      <c r="BD99" s="12"/>
      <c r="BE99" s="12">
        <f t="shared" ref="BE99:BG99" si="191">+BE98</f>
        <v>50001</v>
      </c>
      <c r="BF99" s="12">
        <f t="shared" si="191"/>
        <v>99960</v>
      </c>
      <c r="BG99" s="12">
        <f t="shared" si="191"/>
        <v>50002.46</v>
      </c>
      <c r="BH99" s="12"/>
      <c r="BI99" s="12"/>
      <c r="BJ99" s="12"/>
      <c r="BK99" s="12">
        <f>+Precios!BJ97*Precios!BJ$3</f>
        <v>0</v>
      </c>
      <c r="BL99" s="12">
        <f>+Precios!BK97*Precios!BK$3</f>
        <v>0</v>
      </c>
      <c r="BM99" s="12">
        <f>+Precios!BL97*Precios!BL$3</f>
        <v>0</v>
      </c>
      <c r="BN99" s="35"/>
      <c r="BO99" s="35"/>
      <c r="BP99" s="35"/>
      <c r="BQ99" s="35"/>
      <c r="BR99" s="35"/>
      <c r="BS99" s="35"/>
      <c r="BT99" s="35"/>
      <c r="BU99" s="35"/>
      <c r="BV99" s="35"/>
    </row>
    <row r="100" spans="1:105" ht="15" thickBot="1">
      <c r="A100" s="5">
        <f t="shared" si="146"/>
        <v>249963.46</v>
      </c>
      <c r="B100" s="15">
        <f>+Precios!A98</f>
        <v>46108</v>
      </c>
      <c r="C100" s="12">
        <f>+Precios!B98*Precios!B$3</f>
        <v>0</v>
      </c>
      <c r="D100" s="12">
        <f>+Precios!C98*Precios!C$3</f>
        <v>0</v>
      </c>
      <c r="E100" s="12">
        <f>+Precios!D98*Precios!D$3</f>
        <v>0</v>
      </c>
      <c r="F100" s="12">
        <f>+Precios!E98*Precios!E$3</f>
        <v>0</v>
      </c>
      <c r="G100" s="12">
        <f>+Precios!F98*Precios!F$3</f>
        <v>0</v>
      </c>
      <c r="H100" s="12">
        <f>+Precios!G98*Precios!G$3</f>
        <v>0</v>
      </c>
      <c r="I100" s="12">
        <f>+Precios!H98*Precios!H$3</f>
        <v>0</v>
      </c>
      <c r="J100" s="12">
        <f>+Precios!I98*Precios!I$3</f>
        <v>0</v>
      </c>
      <c r="K100" s="12">
        <f>+Precios!J98*Precios!J$3</f>
        <v>0</v>
      </c>
      <c r="L100" s="12">
        <f>+Precios!K98*Precios!K$3</f>
        <v>0</v>
      </c>
      <c r="M100" s="12">
        <f>+Precios!L98*Precios!L$3</f>
        <v>0</v>
      </c>
      <c r="N100" s="12">
        <f>+Precios!M98*Precios!M$3</f>
        <v>0</v>
      </c>
      <c r="O100" s="12">
        <f>+Precios!N98*Precios!N$3</f>
        <v>0</v>
      </c>
      <c r="P100" s="12">
        <f>+Precios!O98*Precios!O$3</f>
        <v>0</v>
      </c>
      <c r="Q100" s="12">
        <f>+Precios!P98*Precios!P$3</f>
        <v>0</v>
      </c>
      <c r="R100" s="12">
        <f>+Precios!Q98*Precios!Q$3</f>
        <v>0</v>
      </c>
      <c r="S100" s="12">
        <f>+Precios!R98*Precios!R$3</f>
        <v>0</v>
      </c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31">
        <f t="shared" si="166"/>
        <v>50000</v>
      </c>
      <c r="AW100" s="12"/>
      <c r="AX100" s="12"/>
      <c r="AY100" s="12"/>
      <c r="AZ100" s="12"/>
      <c r="BA100" s="12"/>
      <c r="BB100" s="12"/>
      <c r="BC100" s="12">
        <f t="shared" ref="BC100" si="192">+BC99</f>
        <v>0</v>
      </c>
      <c r="BD100" s="12"/>
      <c r="BE100" s="12">
        <f t="shared" ref="BE100:BG100" si="193">+BE99</f>
        <v>50001</v>
      </c>
      <c r="BF100" s="12">
        <f t="shared" si="193"/>
        <v>99960</v>
      </c>
      <c r="BG100" s="12">
        <f t="shared" si="193"/>
        <v>50002.46</v>
      </c>
      <c r="BH100" s="12"/>
      <c r="BI100" s="12"/>
      <c r="BJ100" s="12"/>
      <c r="BK100" s="12">
        <f>+Precios!BJ98*Precios!BJ$3</f>
        <v>0</v>
      </c>
      <c r="BL100" s="12">
        <f>+Precios!BK98*Precios!BK$3</f>
        <v>0</v>
      </c>
      <c r="BM100" s="12">
        <f>+Precios!BL98*Precios!BL$3</f>
        <v>0</v>
      </c>
      <c r="BN100" s="35"/>
      <c r="BO100" s="35"/>
      <c r="BP100" s="35"/>
      <c r="BQ100" s="35"/>
      <c r="BR100" s="35"/>
      <c r="BS100" s="35"/>
      <c r="BT100" s="35"/>
      <c r="BU100" s="35"/>
      <c r="BV100" s="35"/>
    </row>
    <row r="101" spans="1:105" ht="15" thickBot="1">
      <c r="A101" s="5">
        <f t="shared" si="146"/>
        <v>249963.46</v>
      </c>
      <c r="B101" s="15">
        <f>+Precios!A99</f>
        <v>46111</v>
      </c>
      <c r="C101" s="12">
        <f>+Precios!B99*Precios!B$3</f>
        <v>0</v>
      </c>
      <c r="D101" s="12">
        <f>+Precios!C99*Precios!C$3</f>
        <v>0</v>
      </c>
      <c r="E101" s="12">
        <f>+Precios!D99*Precios!D$3</f>
        <v>0</v>
      </c>
      <c r="F101" s="12">
        <f>+Precios!E99*Precios!E$3</f>
        <v>0</v>
      </c>
      <c r="G101" s="12">
        <f>+Precios!F99*Precios!F$3</f>
        <v>0</v>
      </c>
      <c r="H101" s="12">
        <f>+Precios!G99*Precios!G$3</f>
        <v>0</v>
      </c>
      <c r="I101" s="12">
        <f>+Precios!H99*Precios!H$3</f>
        <v>0</v>
      </c>
      <c r="J101" s="12">
        <f>+Precios!I99*Precios!I$3</f>
        <v>0</v>
      </c>
      <c r="K101" s="12">
        <f>+Precios!J99*Precios!J$3</f>
        <v>0</v>
      </c>
      <c r="L101" s="12">
        <f>+Precios!K99*Precios!K$3</f>
        <v>0</v>
      </c>
      <c r="M101" s="12">
        <f>+Precios!L99*Precios!L$3</f>
        <v>0</v>
      </c>
      <c r="N101" s="12">
        <f>+Precios!M99*Precios!M$3</f>
        <v>0</v>
      </c>
      <c r="O101" s="12">
        <f>+Precios!N99*Precios!N$3</f>
        <v>0</v>
      </c>
      <c r="P101" s="12">
        <f>+Precios!O99*Precios!O$3</f>
        <v>0</v>
      </c>
      <c r="Q101" s="12">
        <f>+Precios!P99*Precios!P$3</f>
        <v>0</v>
      </c>
      <c r="R101" s="12">
        <f>+Precios!Q99*Precios!Q$3</f>
        <v>0</v>
      </c>
      <c r="S101" s="12">
        <f>+Precios!R99*Precios!R$3</f>
        <v>0</v>
      </c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31">
        <f t="shared" si="166"/>
        <v>50000</v>
      </c>
      <c r="AW101" s="12"/>
      <c r="AX101" s="12"/>
      <c r="AY101" s="12"/>
      <c r="AZ101" s="12"/>
      <c r="BA101" s="12"/>
      <c r="BB101" s="12"/>
      <c r="BC101" s="12">
        <f t="shared" ref="BC101" si="194">+BC100</f>
        <v>0</v>
      </c>
      <c r="BD101" s="12"/>
      <c r="BE101" s="12">
        <f t="shared" ref="BE101:BG101" si="195">+BE100</f>
        <v>50001</v>
      </c>
      <c r="BF101" s="12">
        <f t="shared" si="195"/>
        <v>99960</v>
      </c>
      <c r="BG101" s="12">
        <f t="shared" si="195"/>
        <v>50002.46</v>
      </c>
      <c r="BH101" s="12"/>
      <c r="BI101" s="12"/>
      <c r="BJ101" s="12"/>
      <c r="BK101" s="12">
        <f>+Precios!BJ99*Precios!BJ$3</f>
        <v>0</v>
      </c>
      <c r="BL101" s="12">
        <f>+Precios!BK99*Precios!BK$3</f>
        <v>0</v>
      </c>
      <c r="BM101" s="12">
        <f>+Precios!BL99*Precios!BL$3</f>
        <v>0</v>
      </c>
      <c r="BN101" s="35"/>
      <c r="BO101" s="35"/>
      <c r="BP101" s="35"/>
      <c r="BQ101" s="35"/>
      <c r="BR101" s="35"/>
      <c r="BS101" s="35"/>
      <c r="BT101" s="35"/>
      <c r="BU101" s="35"/>
      <c r="BV101" s="35"/>
    </row>
    <row r="102" spans="1:105" ht="15" thickBot="1">
      <c r="A102" s="5">
        <f t="shared" si="146"/>
        <v>399914.33999999997</v>
      </c>
      <c r="B102" s="15">
        <f>+Precios!A100</f>
        <v>46112</v>
      </c>
      <c r="C102" s="12">
        <f>+Precios!B100*Precios!B$3</f>
        <v>0</v>
      </c>
      <c r="D102" s="12">
        <f>+Precios!C100*Precios!C$3</f>
        <v>0</v>
      </c>
      <c r="E102" s="12">
        <f>+Precios!D100*Precios!D$3</f>
        <v>0</v>
      </c>
      <c r="F102" s="12">
        <f>+Precios!E100*Precios!E$3</f>
        <v>0</v>
      </c>
      <c r="G102" s="12">
        <f>+Precios!F100*Precios!F$3</f>
        <v>0</v>
      </c>
      <c r="H102" s="12">
        <f>+Precios!G100*Precios!G$3</f>
        <v>0</v>
      </c>
      <c r="I102" s="12">
        <f>+Precios!H100*Precios!H$3</f>
        <v>0</v>
      </c>
      <c r="J102" s="12">
        <f>+Precios!I100*Precios!I$3</f>
        <v>0</v>
      </c>
      <c r="K102" s="12">
        <f>+Precios!J100*Precios!J$3</f>
        <v>0</v>
      </c>
      <c r="L102" s="12">
        <f>+Precios!K100*Precios!K$3</f>
        <v>0</v>
      </c>
      <c r="M102" s="12">
        <f>+Precios!L100*Precios!L$3</f>
        <v>0</v>
      </c>
      <c r="N102" s="12">
        <f>+Precios!M100*Precios!M$3</f>
        <v>0</v>
      </c>
      <c r="O102" s="12">
        <f>+Precios!N100*Precios!N$3</f>
        <v>0</v>
      </c>
      <c r="P102" s="12">
        <f>+Precios!O100*Precios!O$3</f>
        <v>0</v>
      </c>
      <c r="Q102" s="12">
        <f>+Precios!P100*Precios!P$3</f>
        <v>0</v>
      </c>
      <c r="R102" s="12">
        <f>+Precios!Q100*Precios!Q$3</f>
        <v>0</v>
      </c>
      <c r="S102" s="12">
        <f>+Precios!R100*Precios!R$3</f>
        <v>0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31">
        <f t="shared" si="166"/>
        <v>50000</v>
      </c>
      <c r="AW102" s="12"/>
      <c r="AX102" s="12"/>
      <c r="AY102" s="12"/>
      <c r="AZ102" s="12"/>
      <c r="BA102" s="12"/>
      <c r="BB102" s="12"/>
      <c r="BC102" s="12">
        <f t="shared" ref="BC102:BC109" si="196">+BC101</f>
        <v>0</v>
      </c>
      <c r="BD102" s="12"/>
      <c r="BE102" s="12">
        <f t="shared" ref="BE102:BG105" si="197">+BE101</f>
        <v>50001</v>
      </c>
      <c r="BF102" s="12">
        <f t="shared" si="197"/>
        <v>99960</v>
      </c>
      <c r="BG102" s="12">
        <f t="shared" si="197"/>
        <v>50002.46</v>
      </c>
      <c r="BH102" s="12"/>
      <c r="BI102" s="12"/>
      <c r="BJ102" s="12"/>
      <c r="BK102" s="30">
        <v>50000</v>
      </c>
      <c r="BL102" s="30">
        <v>49950.810000000005</v>
      </c>
      <c r="BM102" s="30">
        <v>50000.07</v>
      </c>
      <c r="BN102" s="35"/>
      <c r="BO102" s="35"/>
      <c r="BP102" s="35"/>
      <c r="BQ102" s="35"/>
      <c r="BR102" s="35"/>
      <c r="BS102" s="35"/>
      <c r="BT102" s="35"/>
      <c r="BU102" s="35"/>
      <c r="BV102" s="35"/>
    </row>
    <row r="103" spans="1:105" ht="15" thickBot="1">
      <c r="A103" s="5">
        <f t="shared" ref="A103:A115" si="198">+SUM(C103:XFD103)</f>
        <v>499914.33999999997</v>
      </c>
      <c r="B103" s="15">
        <f>+Precios!A101</f>
        <v>46113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31">
        <f t="shared" si="166"/>
        <v>50000</v>
      </c>
      <c r="AW103" s="12"/>
      <c r="AX103" s="12"/>
      <c r="AY103" s="12"/>
      <c r="AZ103" s="12"/>
      <c r="BA103" s="12"/>
      <c r="BB103" s="12"/>
      <c r="BC103" s="12">
        <f t="shared" si="196"/>
        <v>0</v>
      </c>
      <c r="BD103" s="12"/>
      <c r="BE103" s="12">
        <f t="shared" ref="BE103:BE115" si="199">+BE102</f>
        <v>50001</v>
      </c>
      <c r="BF103" s="12">
        <f t="shared" si="197"/>
        <v>99960</v>
      </c>
      <c r="BG103" s="12">
        <f t="shared" si="197"/>
        <v>50002.46</v>
      </c>
      <c r="BH103" s="12"/>
      <c r="BI103" s="12"/>
      <c r="BJ103" s="12"/>
      <c r="BK103" s="31">
        <f>+BK102</f>
        <v>50000</v>
      </c>
      <c r="BL103" s="36">
        <f>+BL102</f>
        <v>49950.810000000005</v>
      </c>
      <c r="BM103" s="36">
        <f>+BM102</f>
        <v>50000.07</v>
      </c>
      <c r="BN103" s="35">
        <v>50000</v>
      </c>
      <c r="BO103" s="35">
        <v>50000</v>
      </c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</row>
    <row r="104" spans="1:105" ht="15" thickBot="1">
      <c r="A104" s="5">
        <f t="shared" si="198"/>
        <v>499914.33999999997</v>
      </c>
      <c r="B104" s="15">
        <f>+Precios!A102</f>
        <v>46114</v>
      </c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V104" s="31">
        <f t="shared" si="166"/>
        <v>50000</v>
      </c>
      <c r="AW104" s="12"/>
      <c r="BC104" s="12">
        <f t="shared" si="196"/>
        <v>0</v>
      </c>
      <c r="BD104" s="12"/>
      <c r="BE104" s="12">
        <f t="shared" si="199"/>
        <v>50001</v>
      </c>
      <c r="BF104" s="12">
        <f t="shared" si="197"/>
        <v>99960</v>
      </c>
      <c r="BG104" s="12">
        <f t="shared" si="197"/>
        <v>50002.46</v>
      </c>
      <c r="BH104" s="12"/>
      <c r="BJ104" s="12"/>
      <c r="BK104" s="31">
        <f t="shared" ref="BK104:BK110" si="200">+BK103</f>
        <v>50000</v>
      </c>
      <c r="BL104" s="35">
        <f t="shared" ref="BL104:BM110" si="201">+BL103</f>
        <v>49950.810000000005</v>
      </c>
      <c r="BM104" s="35">
        <f t="shared" si="201"/>
        <v>50000.07</v>
      </c>
      <c r="BN104" s="35">
        <f>+BN103</f>
        <v>50000</v>
      </c>
      <c r="BO104" s="35">
        <f>+BO103</f>
        <v>50000</v>
      </c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</row>
    <row r="105" spans="1:105" ht="15" thickBot="1">
      <c r="A105" s="5">
        <f t="shared" si="198"/>
        <v>349954.27</v>
      </c>
      <c r="B105" s="15">
        <f>+Precios!A103</f>
        <v>46115</v>
      </c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V105" s="31">
        <f t="shared" si="166"/>
        <v>50000</v>
      </c>
      <c r="AW105" s="12"/>
      <c r="BC105" s="12">
        <f t="shared" si="196"/>
        <v>0</v>
      </c>
      <c r="BD105" s="12"/>
      <c r="BE105" s="12">
        <f t="shared" si="199"/>
        <v>50001</v>
      </c>
      <c r="BF105" s="12"/>
      <c r="BG105" s="12">
        <f t="shared" si="197"/>
        <v>50002.46</v>
      </c>
      <c r="BH105" s="12"/>
      <c r="BJ105" s="12"/>
      <c r="BK105" s="31">
        <f t="shared" si="200"/>
        <v>50000</v>
      </c>
      <c r="BL105" s="35">
        <f t="shared" si="201"/>
        <v>49950.810000000005</v>
      </c>
      <c r="BM105" s="35"/>
      <c r="BN105" s="35">
        <f t="shared" ref="BN105:BO110" si="202">+BN104</f>
        <v>50000</v>
      </c>
      <c r="BO105" s="35">
        <f t="shared" si="202"/>
        <v>50000</v>
      </c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</row>
    <row r="106" spans="1:105" ht="15" thickBot="1">
      <c r="A106" s="5">
        <f t="shared" si="198"/>
        <v>499954.27</v>
      </c>
      <c r="B106" s="15">
        <f>+Precios!A104</f>
        <v>46118</v>
      </c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V106" s="31">
        <f t="shared" si="166"/>
        <v>50000</v>
      </c>
      <c r="AW106" s="12"/>
      <c r="BC106" s="12">
        <f t="shared" si="196"/>
        <v>0</v>
      </c>
      <c r="BD106" s="12"/>
      <c r="BE106" s="12">
        <f t="shared" si="199"/>
        <v>50001</v>
      </c>
      <c r="BF106" s="12"/>
      <c r="BG106" s="12">
        <f t="shared" ref="BG106" si="203">+BG105</f>
        <v>50002.46</v>
      </c>
      <c r="BH106" s="12"/>
      <c r="BJ106" s="12"/>
      <c r="BK106" s="31">
        <f t="shared" si="200"/>
        <v>50000</v>
      </c>
      <c r="BL106" s="35">
        <f t="shared" si="201"/>
        <v>49950.810000000005</v>
      </c>
      <c r="BM106" s="35"/>
      <c r="BN106" s="35">
        <f t="shared" si="202"/>
        <v>50000</v>
      </c>
      <c r="BO106" s="35">
        <f t="shared" si="202"/>
        <v>50000</v>
      </c>
      <c r="BP106" s="35">
        <v>50000</v>
      </c>
      <c r="BQ106" s="35">
        <v>50000</v>
      </c>
      <c r="BR106" s="35">
        <v>50000</v>
      </c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</row>
    <row r="107" spans="1:105" ht="15" thickBot="1">
      <c r="A107" s="5">
        <f t="shared" si="198"/>
        <v>499954.27</v>
      </c>
      <c r="B107" s="15">
        <f>+Precios!A105</f>
        <v>46119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V107" s="31">
        <f t="shared" si="166"/>
        <v>50000</v>
      </c>
      <c r="AW107" s="12"/>
      <c r="BC107" s="12">
        <f t="shared" si="196"/>
        <v>0</v>
      </c>
      <c r="BD107" s="12"/>
      <c r="BE107" s="12">
        <f t="shared" si="199"/>
        <v>50001</v>
      </c>
      <c r="BF107" s="12"/>
      <c r="BG107" s="12">
        <f t="shared" ref="BG107" si="204">+BG106</f>
        <v>50002.46</v>
      </c>
      <c r="BH107" s="12"/>
      <c r="BJ107" s="12"/>
      <c r="BK107" s="31">
        <f t="shared" si="200"/>
        <v>50000</v>
      </c>
      <c r="BL107" s="35">
        <f t="shared" si="201"/>
        <v>49950.810000000005</v>
      </c>
      <c r="BM107" s="35"/>
      <c r="BN107" s="35">
        <f t="shared" si="202"/>
        <v>50000</v>
      </c>
      <c r="BO107" s="35">
        <f t="shared" si="202"/>
        <v>50000</v>
      </c>
      <c r="BP107" s="35">
        <v>50000</v>
      </c>
      <c r="BQ107" s="35">
        <v>50000</v>
      </c>
      <c r="BR107" s="35">
        <v>50000</v>
      </c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</row>
    <row r="108" spans="1:105" ht="15" thickBot="1">
      <c r="A108" s="5">
        <f t="shared" si="198"/>
        <v>449954.27</v>
      </c>
      <c r="B108" s="15">
        <f>+Precios!A106</f>
        <v>46120</v>
      </c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V108" s="31">
        <f t="shared" si="166"/>
        <v>50000</v>
      </c>
      <c r="AW108" s="12"/>
      <c r="BC108" s="12">
        <f t="shared" si="196"/>
        <v>0</v>
      </c>
      <c r="BD108" s="12"/>
      <c r="BE108" s="12">
        <f t="shared" si="199"/>
        <v>50001</v>
      </c>
      <c r="BF108" s="12"/>
      <c r="BG108" s="12">
        <f t="shared" ref="BG108" si="205">+BG107</f>
        <v>50002.46</v>
      </c>
      <c r="BH108" s="12"/>
      <c r="BJ108" s="12"/>
      <c r="BK108" s="31">
        <f t="shared" si="200"/>
        <v>50000</v>
      </c>
      <c r="BL108" s="35">
        <f t="shared" si="201"/>
        <v>49950.810000000005</v>
      </c>
      <c r="BM108" s="35"/>
      <c r="BN108" s="35">
        <f t="shared" si="202"/>
        <v>50000</v>
      </c>
      <c r="BO108" s="35">
        <f t="shared" si="202"/>
        <v>50000</v>
      </c>
      <c r="BP108" s="35"/>
      <c r="BQ108" s="35">
        <v>50000</v>
      </c>
      <c r="BR108" s="35">
        <v>50000</v>
      </c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</row>
    <row r="109" spans="1:105" ht="15" thickBot="1">
      <c r="A109" s="5">
        <f t="shared" si="198"/>
        <v>499954.27</v>
      </c>
      <c r="B109" s="15">
        <f>+Precios!A107</f>
        <v>46121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V109" s="31">
        <f t="shared" si="166"/>
        <v>50000</v>
      </c>
      <c r="AW109" s="12"/>
      <c r="BC109" s="12">
        <f t="shared" si="196"/>
        <v>0</v>
      </c>
      <c r="BD109" s="12"/>
      <c r="BE109" s="12">
        <f t="shared" si="199"/>
        <v>50001</v>
      </c>
      <c r="BF109" s="12"/>
      <c r="BG109" s="12">
        <f t="shared" ref="BG109" si="206">+BG108</f>
        <v>50002.46</v>
      </c>
      <c r="BH109" s="12"/>
      <c r="BJ109" s="12"/>
      <c r="BK109" s="31">
        <f t="shared" si="200"/>
        <v>50000</v>
      </c>
      <c r="BL109" s="35">
        <f t="shared" si="201"/>
        <v>49950.810000000005</v>
      </c>
      <c r="BM109" s="35"/>
      <c r="BN109" s="35">
        <f t="shared" si="202"/>
        <v>50000</v>
      </c>
      <c r="BO109" s="35">
        <f t="shared" si="202"/>
        <v>50000</v>
      </c>
      <c r="BP109" s="35"/>
      <c r="BQ109" s="35">
        <v>50000</v>
      </c>
      <c r="BR109" s="35">
        <v>50000</v>
      </c>
      <c r="BS109" s="35">
        <v>50000</v>
      </c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</row>
    <row r="110" spans="1:105" ht="15" thickBot="1">
      <c r="A110" s="5">
        <f t="shared" si="198"/>
        <v>549954.27</v>
      </c>
      <c r="B110" s="15">
        <f>+Precios!A108</f>
        <v>46122</v>
      </c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V110" s="31">
        <f t="shared" si="166"/>
        <v>50000</v>
      </c>
      <c r="AW110" s="12"/>
      <c r="BD110" s="12"/>
      <c r="BE110" s="12">
        <f t="shared" si="199"/>
        <v>50001</v>
      </c>
      <c r="BF110" s="12"/>
      <c r="BG110" s="12">
        <f t="shared" ref="BG110:BG115" si="207">+BG109</f>
        <v>50002.46</v>
      </c>
      <c r="BH110" s="12"/>
      <c r="BJ110" s="12"/>
      <c r="BK110" s="31">
        <f t="shared" si="200"/>
        <v>50000</v>
      </c>
      <c r="BL110" s="35">
        <f t="shared" si="201"/>
        <v>49950.810000000005</v>
      </c>
      <c r="BM110" s="35"/>
      <c r="BN110" s="35">
        <f t="shared" si="202"/>
        <v>50000</v>
      </c>
      <c r="BO110" s="35">
        <f t="shared" si="202"/>
        <v>50000</v>
      </c>
      <c r="BP110" s="35"/>
      <c r="BQ110" s="35">
        <v>50000</v>
      </c>
      <c r="BR110" s="35">
        <v>50000</v>
      </c>
      <c r="BS110" s="35">
        <v>50000</v>
      </c>
      <c r="BT110" s="35">
        <v>50000</v>
      </c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</row>
    <row r="111" spans="1:105" ht="15" thickBot="1">
      <c r="A111" s="5">
        <f t="shared" si="198"/>
        <v>558380.18999999994</v>
      </c>
      <c r="B111" s="15">
        <f>+Precios!A109</f>
        <v>46125</v>
      </c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V111" s="42">
        <f>+TRACK!H75</f>
        <v>25000</v>
      </c>
      <c r="BE111" s="12">
        <f t="shared" si="199"/>
        <v>50001</v>
      </c>
      <c r="BF111" s="12"/>
      <c r="BG111" s="12">
        <f t="shared" si="207"/>
        <v>50002.46</v>
      </c>
      <c r="BK111" s="42">
        <f>+BK4*TRACK!G79</f>
        <v>33425.919999999998</v>
      </c>
      <c r="BL111" s="35">
        <f t="shared" ref="BL111" si="208">+BL110</f>
        <v>49950.810000000005</v>
      </c>
      <c r="BN111" s="35">
        <f t="shared" ref="BN111:BO111" si="209">+BN110</f>
        <v>50000</v>
      </c>
      <c r="BO111" s="35">
        <f t="shared" si="209"/>
        <v>50000</v>
      </c>
      <c r="BP111" s="35"/>
      <c r="BQ111" s="35">
        <f>+BQ110</f>
        <v>50000</v>
      </c>
      <c r="BR111" s="35">
        <f>+BR110</f>
        <v>50000</v>
      </c>
      <c r="BS111" s="35">
        <f>+BS110</f>
        <v>50000</v>
      </c>
      <c r="BT111" s="35">
        <f>+BT110</f>
        <v>50000</v>
      </c>
      <c r="BU111" s="35">
        <v>50000</v>
      </c>
      <c r="BV111" s="35"/>
    </row>
    <row r="112" spans="1:105" ht="15" thickBot="1">
      <c r="A112" s="5">
        <f t="shared" si="198"/>
        <v>535907.38</v>
      </c>
      <c r="B112" s="15">
        <f>+Precios!A110</f>
        <v>46126</v>
      </c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V112" s="43">
        <f>+AV111</f>
        <v>25000</v>
      </c>
      <c r="BE112" s="12">
        <f t="shared" si="199"/>
        <v>50001</v>
      </c>
      <c r="BF112" s="12"/>
      <c r="BG112" s="12">
        <f t="shared" si="207"/>
        <v>50002.46</v>
      </c>
      <c r="BK112" s="43">
        <f>+BK111</f>
        <v>33425.919999999998</v>
      </c>
      <c r="BL112" s="45">
        <v>42482</v>
      </c>
      <c r="BN112" s="35">
        <f t="shared" ref="BN112" si="210">+BN111</f>
        <v>50000</v>
      </c>
      <c r="BO112" s="45">
        <v>42504</v>
      </c>
      <c r="BP112" s="35"/>
      <c r="BQ112" s="35">
        <f t="shared" ref="BQ112:BQ115" si="211">+BQ111</f>
        <v>50000</v>
      </c>
      <c r="BR112" s="35">
        <f t="shared" ref="BR112:BR115" si="212">+BR111</f>
        <v>50000</v>
      </c>
      <c r="BS112" s="45">
        <v>42492</v>
      </c>
      <c r="BT112" s="35">
        <f t="shared" ref="BT112:BT115" si="213">+BT111</f>
        <v>50000</v>
      </c>
      <c r="BU112" s="35">
        <f>+BU111</f>
        <v>50000</v>
      </c>
      <c r="BV112" s="35"/>
    </row>
    <row r="113" spans="1:74" ht="15" thickBot="1">
      <c r="A113" s="5">
        <f t="shared" si="198"/>
        <v>570919.88</v>
      </c>
      <c r="B113" s="15">
        <f>+Precios!A111</f>
        <v>46127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V113" s="43">
        <f>+AV112</f>
        <v>25000</v>
      </c>
      <c r="BE113" s="44">
        <v>42500.5</v>
      </c>
      <c r="BF113" s="12"/>
      <c r="BG113" s="12">
        <f t="shared" si="207"/>
        <v>50002.46</v>
      </c>
      <c r="BK113" s="43">
        <f t="shared" ref="BK113:BL115" si="214">+BK112</f>
        <v>33425.919999999998</v>
      </c>
      <c r="BL113" s="35">
        <f t="shared" si="214"/>
        <v>42482</v>
      </c>
      <c r="BN113" s="35">
        <f t="shared" ref="BN113:BO113" si="215">+BN112</f>
        <v>50000</v>
      </c>
      <c r="BO113" s="35">
        <f t="shared" si="215"/>
        <v>42504</v>
      </c>
      <c r="BP113" s="35"/>
      <c r="BQ113" s="45">
        <v>42513</v>
      </c>
      <c r="BR113" s="35">
        <f t="shared" si="212"/>
        <v>50000</v>
      </c>
      <c r="BS113" s="35">
        <f t="shared" ref="BS113:BS114" si="216">+BS112</f>
        <v>42492</v>
      </c>
      <c r="BT113" s="35">
        <f t="shared" si="213"/>
        <v>50000</v>
      </c>
      <c r="BU113" s="35">
        <f>+BU112</f>
        <v>50000</v>
      </c>
      <c r="BV113" s="35">
        <v>50000</v>
      </c>
    </row>
    <row r="114" spans="1:74" ht="15" thickBot="1">
      <c r="A114" s="5">
        <f t="shared" si="198"/>
        <v>548265.15</v>
      </c>
      <c r="B114" s="15">
        <f>+Precios!A112</f>
        <v>46128</v>
      </c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V114" s="43">
        <f>+AV113</f>
        <v>25000</v>
      </c>
      <c r="BE114" s="12">
        <f t="shared" si="199"/>
        <v>42500.5</v>
      </c>
      <c r="BF114" s="12"/>
      <c r="BG114" s="12">
        <f t="shared" si="207"/>
        <v>50002.46</v>
      </c>
      <c r="BK114" s="48">
        <f>+BK5*TRACK!G79</f>
        <v>27443.439999999999</v>
      </c>
      <c r="BL114" s="35">
        <f t="shared" si="214"/>
        <v>42482</v>
      </c>
      <c r="BN114" s="35">
        <f t="shared" ref="BN114:BO114" si="217">+BN113</f>
        <v>50000</v>
      </c>
      <c r="BO114" s="35">
        <f t="shared" si="217"/>
        <v>42504</v>
      </c>
      <c r="BP114" s="35"/>
      <c r="BQ114" s="35">
        <f t="shared" si="211"/>
        <v>42513</v>
      </c>
      <c r="BR114" s="49">
        <f>+BR4*TRACK!G83</f>
        <v>33327.75</v>
      </c>
      <c r="BS114" s="35">
        <f t="shared" si="216"/>
        <v>42492</v>
      </c>
      <c r="BT114" s="35">
        <f t="shared" si="213"/>
        <v>50000</v>
      </c>
      <c r="BU114" s="35">
        <f>+BU113</f>
        <v>50000</v>
      </c>
      <c r="BV114" s="35">
        <f>+BV113</f>
        <v>50000</v>
      </c>
    </row>
    <row r="115" spans="1:74" ht="15" thickBot="1">
      <c r="A115" s="5">
        <f t="shared" si="198"/>
        <v>538287.18000000005</v>
      </c>
      <c r="B115" s="15">
        <f>+Precios!A113</f>
        <v>46129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V115" s="43">
        <f>+AV114</f>
        <v>25000</v>
      </c>
      <c r="BE115" s="12">
        <f t="shared" si="199"/>
        <v>42500.5</v>
      </c>
      <c r="BF115" s="12"/>
      <c r="BG115" s="12">
        <f t="shared" si="207"/>
        <v>50002.46</v>
      </c>
      <c r="BK115" s="43">
        <f t="shared" si="214"/>
        <v>27443.439999999999</v>
      </c>
      <c r="BL115" s="51">
        <f>+BL5*TRACK!G78</f>
        <v>37502.01</v>
      </c>
      <c r="BN115" s="35">
        <f t="shared" ref="BN115:BO115" si="218">+BN114</f>
        <v>50000</v>
      </c>
      <c r="BO115" s="35">
        <f t="shared" si="218"/>
        <v>42504</v>
      </c>
      <c r="BP115" s="35"/>
      <c r="BQ115" s="35">
        <f t="shared" si="211"/>
        <v>42513</v>
      </c>
      <c r="BR115" s="35">
        <f t="shared" si="212"/>
        <v>33327.75</v>
      </c>
      <c r="BS115" s="51">
        <f>+BS5*TRACK!G84</f>
        <v>37494.019999999997</v>
      </c>
      <c r="BT115" s="35">
        <f t="shared" si="213"/>
        <v>50000</v>
      </c>
      <c r="BU115" s="35">
        <f>+BU114</f>
        <v>50000</v>
      </c>
      <c r="BV115" s="35">
        <f>+BV114</f>
        <v>50000</v>
      </c>
    </row>
    <row r="116" spans="1:74" ht="15" thickBot="1">
      <c r="A116" s="5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BN116" s="35"/>
      <c r="BO116" s="35"/>
      <c r="BP116" s="35"/>
      <c r="BQ116" s="35"/>
      <c r="BR116" s="35"/>
      <c r="BS116" s="35"/>
      <c r="BT116" s="35"/>
      <c r="BU116" s="35"/>
      <c r="BV116" s="35"/>
    </row>
    <row r="117" spans="1:74" ht="15" thickBot="1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BN117" s="35"/>
      <c r="BO117" s="35"/>
      <c r="BP117" s="35"/>
      <c r="BQ117" s="35"/>
      <c r="BR117" s="35"/>
      <c r="BS117" s="35"/>
      <c r="BT117" s="35"/>
      <c r="BU117" s="35"/>
      <c r="BV117" s="35"/>
    </row>
    <row r="118" spans="1:74" ht="15" thickBot="1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BN118" s="35"/>
      <c r="BO118" s="35"/>
      <c r="BP118" s="35"/>
      <c r="BQ118" s="35"/>
      <c r="BR118" s="35"/>
      <c r="BS118" s="35"/>
      <c r="BT118" s="35"/>
      <c r="BU118" s="35"/>
      <c r="BV118" s="35"/>
    </row>
    <row r="119" spans="1:74" ht="15" thickBot="1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BN119" s="35"/>
      <c r="BO119" s="35"/>
      <c r="BP119" s="35"/>
      <c r="BQ119" s="35"/>
      <c r="BR119" s="35"/>
      <c r="BS119" s="35"/>
      <c r="BT119" s="35"/>
      <c r="BU119" s="35"/>
      <c r="BV119" s="35"/>
    </row>
    <row r="120" spans="1:74" ht="15" thickBot="1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BN120" s="35"/>
      <c r="BO120" s="35"/>
      <c r="BP120" s="35"/>
      <c r="BQ120" s="35"/>
      <c r="BR120" s="35"/>
      <c r="BS120" s="35"/>
      <c r="BT120" s="35"/>
      <c r="BU120" s="35"/>
      <c r="BV120" s="35"/>
    </row>
    <row r="121" spans="1:74" ht="15" thickBot="1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BN121" s="35"/>
      <c r="BO121" s="35"/>
      <c r="BP121" s="35"/>
      <c r="BQ121" s="35"/>
      <c r="BR121" s="35"/>
      <c r="BS121" s="35"/>
      <c r="BT121" s="35"/>
      <c r="BU121" s="35"/>
      <c r="BV121" s="35"/>
    </row>
    <row r="122" spans="1:74" ht="15" thickBot="1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BN122" s="35"/>
      <c r="BO122" s="35"/>
      <c r="BP122" s="35"/>
      <c r="BQ122" s="35"/>
      <c r="BR122" s="35"/>
      <c r="BS122" s="35"/>
      <c r="BT122" s="35"/>
      <c r="BU122" s="35"/>
      <c r="BV122" s="35"/>
    </row>
    <row r="123" spans="1:74" ht="15" thickBot="1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BN123" s="35"/>
      <c r="BO123" s="35"/>
      <c r="BP123" s="35"/>
      <c r="BQ123" s="35"/>
      <c r="BR123" s="35"/>
      <c r="BS123" s="35"/>
      <c r="BT123" s="35"/>
      <c r="BU123" s="35"/>
      <c r="BV123" s="35"/>
    </row>
    <row r="124" spans="1:74" ht="15" thickBot="1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BN124" s="35"/>
      <c r="BO124" s="35"/>
      <c r="BP124" s="35"/>
      <c r="BQ124" s="35"/>
      <c r="BR124" s="35"/>
      <c r="BS124" s="35"/>
      <c r="BT124" s="35"/>
      <c r="BU124" s="35"/>
      <c r="BV124" s="35"/>
    </row>
    <row r="125" spans="1:74" ht="15" thickBot="1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BN125" s="35"/>
      <c r="BO125" s="35"/>
      <c r="BP125" s="35"/>
      <c r="BQ125" s="35"/>
      <c r="BR125" s="35"/>
      <c r="BS125" s="35"/>
      <c r="BT125" s="35"/>
      <c r="BU125" s="35"/>
      <c r="BV125" s="35"/>
    </row>
    <row r="126" spans="1:74" ht="15" thickBot="1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BN126" s="35"/>
      <c r="BO126" s="35"/>
      <c r="BP126" s="35"/>
      <c r="BQ126" s="35"/>
      <c r="BR126" s="35"/>
      <c r="BS126" s="35"/>
      <c r="BT126" s="35"/>
      <c r="BU126" s="35"/>
      <c r="BV126" s="35"/>
    </row>
    <row r="127" spans="1:74" ht="15" thickBot="1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BN127" s="35"/>
      <c r="BO127" s="35"/>
      <c r="BP127" s="35"/>
      <c r="BQ127" s="35"/>
      <c r="BR127" s="35"/>
      <c r="BS127" s="35"/>
      <c r="BT127" s="35"/>
      <c r="BU127" s="35"/>
      <c r="BV127" s="35"/>
    </row>
    <row r="128" spans="1:74" ht="15" thickBot="1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BN128" s="35"/>
      <c r="BO128" s="35"/>
      <c r="BP128" s="35"/>
      <c r="BQ128" s="35"/>
      <c r="BR128" s="35"/>
      <c r="BS128" s="35"/>
      <c r="BT128" s="35"/>
      <c r="BU128" s="35"/>
      <c r="BV128" s="35"/>
    </row>
    <row r="129" spans="2:74" ht="15" thickBot="1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BN129" s="35"/>
      <c r="BO129" s="35"/>
      <c r="BP129" s="35"/>
      <c r="BQ129" s="35"/>
      <c r="BR129" s="35"/>
      <c r="BS129" s="35"/>
      <c r="BT129" s="35"/>
      <c r="BU129" s="35"/>
      <c r="BV129" s="35"/>
    </row>
    <row r="130" spans="2:74" ht="15" thickBot="1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BN130" s="35"/>
      <c r="BO130" s="35"/>
      <c r="BP130" s="35"/>
      <c r="BQ130" s="35"/>
      <c r="BR130" s="35"/>
      <c r="BS130" s="35"/>
      <c r="BT130" s="35"/>
      <c r="BU130" s="35"/>
      <c r="BV130" s="35"/>
    </row>
    <row r="131" spans="2:74" ht="15" thickBot="1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BN131" s="35"/>
      <c r="BO131" s="35"/>
      <c r="BP131" s="35"/>
      <c r="BQ131" s="35"/>
      <c r="BR131" s="35"/>
      <c r="BS131" s="35"/>
      <c r="BT131" s="35"/>
      <c r="BU131" s="35"/>
      <c r="BV131" s="35"/>
    </row>
    <row r="132" spans="2:74" ht="15" thickBot="1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BN132" s="35"/>
      <c r="BO132" s="35"/>
      <c r="BP132" s="35"/>
      <c r="BQ132" s="35"/>
      <c r="BR132" s="35"/>
      <c r="BS132" s="35"/>
      <c r="BT132" s="35"/>
      <c r="BU132" s="35"/>
      <c r="BV132" s="35"/>
    </row>
    <row r="133" spans="2:74" ht="15" thickBot="1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BN133" s="35"/>
      <c r="BO133" s="35"/>
      <c r="BP133" s="35"/>
      <c r="BQ133" s="35"/>
      <c r="BR133" s="35"/>
      <c r="BS133" s="35"/>
      <c r="BT133" s="35"/>
      <c r="BU133" s="35"/>
      <c r="BV133" s="35"/>
    </row>
    <row r="134" spans="2:74" ht="15" thickBot="1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BN134" s="35"/>
      <c r="BO134" s="35"/>
      <c r="BP134" s="35"/>
      <c r="BQ134" s="35"/>
      <c r="BR134" s="35"/>
      <c r="BS134" s="35"/>
      <c r="BT134" s="35"/>
      <c r="BU134" s="35"/>
      <c r="BV134" s="35"/>
    </row>
    <row r="135" spans="2:74" ht="15" thickBot="1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BN135" s="35"/>
      <c r="BO135" s="35"/>
      <c r="BP135" s="35"/>
      <c r="BQ135" s="35"/>
      <c r="BR135" s="35"/>
      <c r="BS135" s="35"/>
      <c r="BT135" s="35"/>
      <c r="BU135" s="35"/>
      <c r="BV135" s="35"/>
    </row>
    <row r="136" spans="2:74" ht="15" thickBot="1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BN136" s="35"/>
      <c r="BO136" s="35"/>
      <c r="BP136" s="35"/>
      <c r="BQ136" s="35"/>
      <c r="BR136" s="35"/>
      <c r="BS136" s="35"/>
      <c r="BT136" s="35"/>
      <c r="BU136" s="35"/>
      <c r="BV136" s="35"/>
    </row>
    <row r="137" spans="2:74" ht="15" thickBot="1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BN137" s="35"/>
      <c r="BO137" s="35"/>
      <c r="BP137" s="35"/>
      <c r="BQ137" s="35"/>
      <c r="BR137" s="35"/>
      <c r="BS137" s="35"/>
      <c r="BT137" s="35"/>
      <c r="BU137" s="35"/>
      <c r="BV137" s="35"/>
    </row>
    <row r="138" spans="2:74" ht="15" thickBot="1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BN138" s="35"/>
      <c r="BO138" s="35"/>
      <c r="BP138" s="35"/>
      <c r="BQ138" s="35"/>
      <c r="BR138" s="35"/>
      <c r="BS138" s="35"/>
      <c r="BT138" s="35"/>
      <c r="BU138" s="35"/>
      <c r="BV138" s="35"/>
    </row>
    <row r="139" spans="2:74" ht="15" thickBot="1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BN139" s="35"/>
      <c r="BO139" s="35"/>
      <c r="BP139" s="35"/>
      <c r="BQ139" s="35"/>
      <c r="BR139" s="35"/>
      <c r="BS139" s="35"/>
      <c r="BT139" s="35"/>
      <c r="BU139" s="35"/>
      <c r="BV139" s="35"/>
    </row>
    <row r="140" spans="2:74" ht="15" thickBot="1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BN140" s="35"/>
      <c r="BO140" s="35"/>
      <c r="BP140" s="35"/>
      <c r="BQ140" s="35"/>
      <c r="BR140" s="35"/>
      <c r="BS140" s="35"/>
      <c r="BT140" s="35"/>
      <c r="BU140" s="35"/>
      <c r="BV140" s="35"/>
    </row>
    <row r="141" spans="2:74" ht="15" thickBot="1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BN141" s="35"/>
      <c r="BO141" s="35"/>
      <c r="BP141" s="35"/>
      <c r="BQ141" s="35"/>
      <c r="BR141" s="35"/>
      <c r="BS141" s="35"/>
      <c r="BT141" s="35"/>
      <c r="BU141" s="35"/>
      <c r="BV141" s="35"/>
    </row>
    <row r="142" spans="2:74" ht="15" thickBot="1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BN142" s="35"/>
      <c r="BO142" s="35"/>
      <c r="BP142" s="35"/>
      <c r="BQ142" s="35"/>
      <c r="BR142" s="35"/>
      <c r="BS142" s="35"/>
      <c r="BT142" s="35"/>
      <c r="BU142" s="35"/>
      <c r="BV142" s="35"/>
    </row>
    <row r="143" spans="2:74" ht="15" thickBot="1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BN143" s="35"/>
      <c r="BO143" s="35"/>
      <c r="BP143" s="35"/>
      <c r="BQ143" s="35"/>
      <c r="BR143" s="35"/>
      <c r="BS143" s="35"/>
      <c r="BT143" s="35"/>
      <c r="BU143" s="35"/>
      <c r="BV143" s="35"/>
    </row>
    <row r="144" spans="2:74" ht="15" thickBot="1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BN144" s="35"/>
      <c r="BO144" s="35"/>
      <c r="BP144" s="35"/>
      <c r="BQ144" s="35"/>
      <c r="BR144" s="35"/>
      <c r="BS144" s="35"/>
      <c r="BT144" s="35"/>
      <c r="BU144" s="35"/>
      <c r="BV144" s="35"/>
    </row>
    <row r="145" spans="2:74" ht="15" thickBot="1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BN145" s="35"/>
      <c r="BO145" s="35"/>
      <c r="BP145" s="35"/>
      <c r="BQ145" s="35"/>
      <c r="BR145" s="35"/>
      <c r="BS145" s="35"/>
      <c r="BT145" s="35"/>
      <c r="BU145" s="35"/>
      <c r="BV145" s="35"/>
    </row>
    <row r="146" spans="2:74" ht="15" thickBot="1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BN146" s="35"/>
      <c r="BO146" s="35"/>
      <c r="BP146" s="35"/>
      <c r="BQ146" s="35"/>
      <c r="BR146" s="35"/>
      <c r="BS146" s="35"/>
      <c r="BT146" s="35"/>
      <c r="BU146" s="35"/>
      <c r="BV146" s="35"/>
    </row>
    <row r="147" spans="2:74" ht="15" thickBot="1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BN147" s="35"/>
      <c r="BO147" s="35"/>
      <c r="BP147" s="35"/>
      <c r="BQ147" s="35"/>
      <c r="BR147" s="35"/>
      <c r="BS147" s="35"/>
      <c r="BT147" s="35"/>
      <c r="BU147" s="35"/>
      <c r="BV147" s="35"/>
    </row>
    <row r="148" spans="2:74" ht="15" thickBot="1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BN148" s="35"/>
      <c r="BO148" s="35"/>
      <c r="BP148" s="35"/>
      <c r="BQ148" s="35"/>
      <c r="BR148" s="35"/>
      <c r="BS148" s="35"/>
      <c r="BT148" s="35"/>
      <c r="BU148" s="35"/>
      <c r="BV148" s="35"/>
    </row>
    <row r="149" spans="2:74" ht="15" thickBot="1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BN149" s="35"/>
      <c r="BO149" s="35"/>
      <c r="BP149" s="35"/>
      <c r="BQ149" s="35"/>
      <c r="BR149" s="35"/>
      <c r="BS149" s="35"/>
      <c r="BT149" s="35"/>
      <c r="BU149" s="35"/>
      <c r="BV149" s="35"/>
    </row>
    <row r="150" spans="2:74" ht="15" thickBot="1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BN150" s="35"/>
      <c r="BO150" s="35"/>
      <c r="BP150" s="35"/>
      <c r="BQ150" s="35"/>
      <c r="BR150" s="35"/>
      <c r="BS150" s="35"/>
      <c r="BT150" s="35"/>
      <c r="BU150" s="35"/>
      <c r="BV150" s="35"/>
    </row>
    <row r="151" spans="2:74" ht="15" thickBot="1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BN151" s="35"/>
      <c r="BO151" s="35"/>
      <c r="BP151" s="35"/>
      <c r="BQ151" s="35"/>
      <c r="BR151" s="35"/>
      <c r="BS151" s="35"/>
      <c r="BT151" s="35"/>
      <c r="BU151" s="35"/>
      <c r="BV151" s="35"/>
    </row>
    <row r="152" spans="2:74" ht="15" thickBot="1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BN152" s="35"/>
      <c r="BO152" s="35"/>
      <c r="BP152" s="35"/>
      <c r="BQ152" s="35"/>
      <c r="BR152" s="35"/>
      <c r="BS152" s="35"/>
      <c r="BT152" s="35"/>
      <c r="BU152" s="35"/>
      <c r="BV152" s="35"/>
    </row>
    <row r="153" spans="2:74" ht="15" thickBot="1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BN153" s="35"/>
      <c r="BO153" s="35"/>
      <c r="BP153" s="35"/>
      <c r="BQ153" s="35"/>
      <c r="BR153" s="35"/>
      <c r="BS153" s="35"/>
      <c r="BT153" s="35"/>
      <c r="BU153" s="35"/>
      <c r="BV153" s="35"/>
    </row>
    <row r="154" spans="2:74" ht="15" thickBot="1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BN154" s="35"/>
      <c r="BO154" s="35"/>
      <c r="BP154" s="35"/>
      <c r="BQ154" s="35"/>
      <c r="BR154" s="35"/>
      <c r="BS154" s="35"/>
      <c r="BT154" s="35"/>
      <c r="BU154" s="35"/>
      <c r="BV154" s="35"/>
    </row>
    <row r="155" spans="2:74" ht="15" thickBot="1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BN155" s="35"/>
      <c r="BO155" s="35"/>
      <c r="BP155" s="35"/>
      <c r="BQ155" s="35"/>
      <c r="BR155" s="35"/>
      <c r="BS155" s="35"/>
      <c r="BT155" s="35"/>
      <c r="BU155" s="35"/>
      <c r="BV155" s="35"/>
    </row>
    <row r="156" spans="2:74" ht="15" thickBot="1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BN156" s="35"/>
      <c r="BO156" s="35"/>
      <c r="BP156" s="35"/>
      <c r="BQ156" s="35"/>
      <c r="BR156" s="35"/>
      <c r="BS156" s="35"/>
      <c r="BT156" s="35"/>
      <c r="BU156" s="35"/>
      <c r="BV156" s="35"/>
    </row>
    <row r="157" spans="2:74" ht="15" thickBot="1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BN157" s="35"/>
      <c r="BO157" s="35"/>
      <c r="BP157" s="35"/>
      <c r="BQ157" s="35"/>
      <c r="BR157" s="35"/>
      <c r="BS157" s="35"/>
      <c r="BT157" s="35"/>
      <c r="BU157" s="35"/>
      <c r="BV157" s="35"/>
    </row>
    <row r="158" spans="2:74" ht="15" thickBot="1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BN158" s="35"/>
      <c r="BO158" s="35"/>
      <c r="BP158" s="35"/>
      <c r="BQ158" s="35"/>
      <c r="BR158" s="35"/>
      <c r="BS158" s="35"/>
      <c r="BT158" s="35"/>
      <c r="BU158" s="35"/>
      <c r="BV158" s="35"/>
    </row>
    <row r="159" spans="2:74" ht="15" thickBot="1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BN159" s="35"/>
      <c r="BO159" s="35"/>
      <c r="BP159" s="35"/>
      <c r="BQ159" s="35"/>
      <c r="BR159" s="35"/>
      <c r="BS159" s="35"/>
      <c r="BT159" s="35"/>
      <c r="BU159" s="35"/>
      <c r="BV159" s="35"/>
    </row>
    <row r="160" spans="2:74" ht="15" thickBot="1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BN160" s="35"/>
      <c r="BO160" s="35"/>
      <c r="BP160" s="35"/>
      <c r="BQ160" s="35"/>
      <c r="BR160" s="35"/>
      <c r="BS160" s="35"/>
      <c r="BT160" s="35"/>
      <c r="BU160" s="35"/>
      <c r="BV160" s="35"/>
    </row>
    <row r="161" spans="2:74" ht="15" thickBot="1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BN161" s="35"/>
      <c r="BO161" s="35"/>
      <c r="BP161" s="35"/>
      <c r="BQ161" s="35"/>
      <c r="BR161" s="35"/>
      <c r="BS161" s="35"/>
      <c r="BT161" s="35"/>
      <c r="BU161" s="35"/>
      <c r="BV161" s="35"/>
    </row>
    <row r="162" spans="2:74" ht="15" thickBot="1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BN162" s="35"/>
      <c r="BO162" s="35"/>
      <c r="BP162" s="35"/>
      <c r="BQ162" s="35"/>
      <c r="BR162" s="35"/>
      <c r="BS162" s="35"/>
      <c r="BT162" s="35"/>
      <c r="BU162" s="35"/>
      <c r="BV162" s="35"/>
    </row>
    <row r="163" spans="2:74" ht="15" thickBot="1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BN163" s="35"/>
      <c r="BO163" s="35"/>
      <c r="BP163" s="35"/>
      <c r="BQ163" s="35"/>
      <c r="BR163" s="35"/>
      <c r="BS163" s="35"/>
      <c r="BT163" s="35"/>
      <c r="BU163" s="35"/>
      <c r="BV163" s="35"/>
    </row>
    <row r="164" spans="2:74" ht="15" thickBot="1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BN164" s="35"/>
      <c r="BO164" s="35"/>
      <c r="BP164" s="35"/>
      <c r="BQ164" s="35"/>
      <c r="BR164" s="35"/>
      <c r="BS164" s="35"/>
      <c r="BT164" s="35"/>
      <c r="BU164" s="35"/>
      <c r="BV164" s="35"/>
    </row>
    <row r="165" spans="2:74" ht="15" thickBot="1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BN165" s="35"/>
      <c r="BO165" s="35"/>
      <c r="BP165" s="35"/>
      <c r="BQ165" s="35"/>
      <c r="BR165" s="35"/>
      <c r="BS165" s="35"/>
      <c r="BT165" s="35"/>
      <c r="BU165" s="35"/>
      <c r="BV165" s="35"/>
    </row>
    <row r="166" spans="2:74" ht="15" thickBot="1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BN166" s="35"/>
      <c r="BO166" s="35"/>
      <c r="BP166" s="35"/>
      <c r="BQ166" s="35"/>
      <c r="BR166" s="35"/>
      <c r="BS166" s="35"/>
      <c r="BT166" s="35"/>
      <c r="BU166" s="35"/>
      <c r="BV166" s="35"/>
    </row>
    <row r="167" spans="2:74" ht="15" thickBot="1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BN167" s="35"/>
      <c r="BO167" s="35"/>
      <c r="BP167" s="35"/>
      <c r="BQ167" s="35"/>
      <c r="BR167" s="35"/>
      <c r="BS167" s="35"/>
      <c r="BT167" s="35"/>
      <c r="BU167" s="35"/>
      <c r="BV167" s="35"/>
    </row>
    <row r="168" spans="2:74" ht="15" thickBot="1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BN168" s="35"/>
      <c r="BO168" s="35"/>
      <c r="BP168" s="35"/>
      <c r="BQ168" s="35"/>
      <c r="BR168" s="35"/>
      <c r="BS168" s="35"/>
      <c r="BT168" s="35"/>
      <c r="BU168" s="35"/>
      <c r="BV168" s="35"/>
    </row>
    <row r="169" spans="2:74" ht="15" thickBot="1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BN169" s="35"/>
      <c r="BO169" s="35"/>
      <c r="BP169" s="35"/>
      <c r="BQ169" s="35"/>
      <c r="BR169" s="35"/>
      <c r="BS169" s="35"/>
      <c r="BT169" s="35"/>
      <c r="BU169" s="35"/>
      <c r="BV169" s="35"/>
    </row>
    <row r="170" spans="2:74" ht="15" thickBot="1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BN170" s="35"/>
      <c r="BO170" s="35"/>
      <c r="BP170" s="35"/>
      <c r="BQ170" s="35"/>
      <c r="BR170" s="35"/>
      <c r="BS170" s="35"/>
      <c r="BT170" s="35"/>
      <c r="BU170" s="35"/>
      <c r="BV170" s="35"/>
    </row>
    <row r="171" spans="2:74" ht="15" thickBot="1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BN171" s="35"/>
      <c r="BO171" s="35"/>
      <c r="BP171" s="35"/>
      <c r="BQ171" s="35"/>
      <c r="BR171" s="35"/>
      <c r="BS171" s="35"/>
      <c r="BT171" s="35"/>
      <c r="BU171" s="35"/>
      <c r="BV171" s="35"/>
    </row>
    <row r="172" spans="2:74" ht="15" thickBot="1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BN172" s="35"/>
      <c r="BO172" s="35"/>
      <c r="BP172" s="35"/>
      <c r="BQ172" s="35"/>
      <c r="BR172" s="35"/>
      <c r="BS172" s="35"/>
      <c r="BT172" s="35"/>
      <c r="BU172" s="35"/>
      <c r="BV172" s="35"/>
    </row>
    <row r="173" spans="2:74" ht="15" thickBot="1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BN173" s="35"/>
      <c r="BO173" s="35"/>
      <c r="BP173" s="35"/>
      <c r="BQ173" s="35"/>
      <c r="BR173" s="35"/>
      <c r="BS173" s="35"/>
      <c r="BT173" s="35"/>
      <c r="BU173" s="35"/>
      <c r="BV173" s="35"/>
    </row>
    <row r="174" spans="2:74" ht="15" thickBot="1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BN174" s="35"/>
      <c r="BO174" s="35"/>
      <c r="BP174" s="35"/>
      <c r="BQ174" s="35"/>
      <c r="BR174" s="35"/>
      <c r="BS174" s="35"/>
      <c r="BT174" s="35"/>
      <c r="BU174" s="35"/>
      <c r="BV174" s="35"/>
    </row>
    <row r="175" spans="2:74" ht="15" thickBot="1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BN175" s="35"/>
      <c r="BO175" s="35"/>
      <c r="BP175" s="35"/>
      <c r="BQ175" s="35"/>
      <c r="BR175" s="35"/>
      <c r="BS175" s="35"/>
      <c r="BT175" s="35"/>
      <c r="BU175" s="35"/>
      <c r="BV175" s="35"/>
    </row>
    <row r="176" spans="2:74" ht="15" thickBot="1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BN176" s="35"/>
      <c r="BO176" s="35"/>
      <c r="BP176" s="35"/>
      <c r="BQ176" s="35"/>
      <c r="BR176" s="35"/>
      <c r="BS176" s="35"/>
      <c r="BT176" s="35"/>
      <c r="BU176" s="35"/>
      <c r="BV176" s="35"/>
    </row>
    <row r="177" spans="2:74" ht="15" thickBot="1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BN177" s="35"/>
      <c r="BO177" s="35"/>
      <c r="BP177" s="35"/>
      <c r="BQ177" s="35"/>
      <c r="BR177" s="35"/>
      <c r="BS177" s="35"/>
      <c r="BT177" s="35"/>
      <c r="BU177" s="35"/>
      <c r="BV177" s="35"/>
    </row>
    <row r="178" spans="2:74" ht="15" thickBot="1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BN178" s="35"/>
      <c r="BO178" s="35"/>
      <c r="BP178" s="35"/>
      <c r="BQ178" s="35"/>
      <c r="BR178" s="35"/>
      <c r="BS178" s="35"/>
      <c r="BT178" s="35"/>
      <c r="BU178" s="35"/>
      <c r="BV178" s="35"/>
    </row>
    <row r="179" spans="2:74" ht="15" thickBot="1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BN179" s="35"/>
      <c r="BO179" s="35"/>
      <c r="BP179" s="35"/>
      <c r="BQ179" s="35"/>
      <c r="BR179" s="35"/>
      <c r="BS179" s="35"/>
      <c r="BT179" s="35"/>
      <c r="BU179" s="35"/>
      <c r="BV179" s="35"/>
    </row>
    <row r="180" spans="2:74" ht="15" thickBot="1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BN180" s="35"/>
      <c r="BO180" s="35"/>
      <c r="BP180" s="35"/>
      <c r="BQ180" s="35"/>
      <c r="BR180" s="35"/>
      <c r="BS180" s="35"/>
      <c r="BT180" s="35"/>
      <c r="BU180" s="35"/>
      <c r="BV180" s="35"/>
    </row>
    <row r="181" spans="2:74" ht="15" thickBot="1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BN181" s="35"/>
      <c r="BO181" s="35"/>
      <c r="BP181" s="35"/>
      <c r="BQ181" s="35"/>
      <c r="BR181" s="35"/>
      <c r="BS181" s="35"/>
      <c r="BT181" s="35"/>
      <c r="BU181" s="35"/>
      <c r="BV181" s="35"/>
    </row>
    <row r="182" spans="2:74" ht="15" thickBot="1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BN182" s="35"/>
      <c r="BO182" s="35"/>
      <c r="BP182" s="35"/>
      <c r="BQ182" s="35"/>
      <c r="BR182" s="35"/>
      <c r="BS182" s="35"/>
      <c r="BT182" s="35"/>
      <c r="BU182" s="35"/>
      <c r="BV182" s="35"/>
    </row>
    <row r="183" spans="2:74" ht="15" thickBot="1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BN183" s="35"/>
      <c r="BO183" s="35"/>
      <c r="BP183" s="35"/>
      <c r="BQ183" s="35"/>
      <c r="BR183" s="35"/>
      <c r="BS183" s="35"/>
      <c r="BT183" s="35"/>
      <c r="BU183" s="35"/>
      <c r="BV183" s="35"/>
    </row>
    <row r="184" spans="2:74" ht="15" thickBot="1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BN184" s="35"/>
      <c r="BO184" s="35"/>
      <c r="BP184" s="35"/>
      <c r="BQ184" s="35"/>
      <c r="BR184" s="35"/>
      <c r="BS184" s="35"/>
      <c r="BT184" s="35"/>
      <c r="BU184" s="35"/>
      <c r="BV184" s="35"/>
    </row>
    <row r="185" spans="2:74" ht="15" thickBot="1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BN185" s="35"/>
      <c r="BO185" s="35"/>
      <c r="BP185" s="35"/>
      <c r="BQ185" s="35"/>
      <c r="BR185" s="35"/>
      <c r="BS185" s="35"/>
      <c r="BT185" s="35"/>
      <c r="BU185" s="35"/>
      <c r="BV185" s="35"/>
    </row>
    <row r="186" spans="2:74" ht="15" thickBot="1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BN186" s="35"/>
      <c r="BO186" s="35"/>
      <c r="BP186" s="35"/>
      <c r="BQ186" s="35"/>
      <c r="BR186" s="35"/>
      <c r="BS186" s="35"/>
      <c r="BT186" s="35"/>
      <c r="BU186" s="35"/>
      <c r="BV186" s="35"/>
    </row>
    <row r="187" spans="2:74" ht="15" thickBot="1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BN187" s="35"/>
      <c r="BO187" s="35"/>
      <c r="BP187" s="35"/>
      <c r="BQ187" s="35"/>
      <c r="BR187" s="35"/>
      <c r="BS187" s="35"/>
      <c r="BT187" s="35"/>
      <c r="BU187" s="35"/>
      <c r="BV187" s="35"/>
    </row>
    <row r="188" spans="2:74" ht="15" thickBot="1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BN188" s="35"/>
      <c r="BO188" s="35"/>
      <c r="BP188" s="35"/>
      <c r="BQ188" s="35"/>
      <c r="BR188" s="35"/>
      <c r="BS188" s="35"/>
      <c r="BT188" s="35"/>
      <c r="BU188" s="35"/>
      <c r="BV188" s="35"/>
    </row>
    <row r="189" spans="2:74" ht="15" thickBot="1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BN189" s="35"/>
      <c r="BO189" s="35"/>
      <c r="BP189" s="35"/>
      <c r="BQ189" s="35"/>
      <c r="BR189" s="35"/>
      <c r="BS189" s="35"/>
      <c r="BT189" s="35"/>
      <c r="BU189" s="35"/>
      <c r="BV189" s="35"/>
    </row>
    <row r="190" spans="2:74" ht="15" thickBot="1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BN190" s="35"/>
      <c r="BO190" s="35"/>
      <c r="BP190" s="35"/>
      <c r="BQ190" s="35"/>
      <c r="BR190" s="35"/>
      <c r="BS190" s="35"/>
      <c r="BT190" s="35"/>
      <c r="BU190" s="35"/>
      <c r="BV190" s="35"/>
    </row>
    <row r="191" spans="2:74" ht="15" thickBot="1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BN191" s="35"/>
      <c r="BO191" s="35"/>
      <c r="BP191" s="35"/>
      <c r="BQ191" s="35"/>
      <c r="BR191" s="35"/>
      <c r="BS191" s="35"/>
      <c r="BT191" s="35"/>
      <c r="BU191" s="35"/>
      <c r="BV191" s="35"/>
    </row>
    <row r="192" spans="2:74" ht="15" thickBot="1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BN192" s="35"/>
      <c r="BO192" s="35"/>
      <c r="BP192" s="35"/>
      <c r="BQ192" s="35"/>
      <c r="BR192" s="35"/>
      <c r="BS192" s="35"/>
      <c r="BT192" s="35"/>
      <c r="BU192" s="35"/>
      <c r="BV192" s="35"/>
    </row>
    <row r="193" spans="2:74" ht="15" thickBot="1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BN193" s="35"/>
      <c r="BO193" s="35"/>
      <c r="BP193" s="35"/>
      <c r="BQ193" s="35"/>
      <c r="BR193" s="35"/>
      <c r="BS193" s="35"/>
      <c r="BT193" s="35"/>
      <c r="BU193" s="35"/>
      <c r="BV193" s="35"/>
    </row>
    <row r="194" spans="2:74" ht="15" thickBot="1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BN194" s="35"/>
      <c r="BO194" s="35"/>
      <c r="BP194" s="35"/>
      <c r="BQ194" s="35"/>
      <c r="BR194" s="35"/>
      <c r="BS194" s="35"/>
      <c r="BT194" s="35"/>
      <c r="BU194" s="35"/>
      <c r="BV194" s="35"/>
    </row>
    <row r="195" spans="2:74" ht="15" thickBot="1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BN195" s="35"/>
      <c r="BO195" s="35"/>
      <c r="BP195" s="35"/>
      <c r="BQ195" s="35"/>
      <c r="BR195" s="35"/>
      <c r="BS195" s="35"/>
      <c r="BT195" s="35"/>
      <c r="BU195" s="35"/>
      <c r="BV195" s="35"/>
    </row>
    <row r="196" spans="2:74" ht="15" thickBot="1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BN196" s="35"/>
      <c r="BO196" s="35"/>
      <c r="BP196" s="35"/>
      <c r="BQ196" s="35"/>
      <c r="BR196" s="35"/>
      <c r="BS196" s="35"/>
      <c r="BT196" s="35"/>
      <c r="BU196" s="35"/>
      <c r="BV196" s="35"/>
    </row>
    <row r="197" spans="2:74" ht="15" thickBot="1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BN197" s="35"/>
      <c r="BO197" s="35"/>
      <c r="BP197" s="35"/>
      <c r="BQ197" s="35"/>
      <c r="BR197" s="35"/>
      <c r="BS197" s="35"/>
      <c r="BT197" s="35"/>
      <c r="BU197" s="35"/>
      <c r="BV197" s="35"/>
    </row>
    <row r="198" spans="2:74" ht="15" thickBot="1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BN198" s="35"/>
      <c r="BO198" s="35"/>
      <c r="BP198" s="35"/>
      <c r="BQ198" s="35"/>
      <c r="BR198" s="35"/>
      <c r="BS198" s="35"/>
      <c r="BT198" s="35"/>
      <c r="BU198" s="35"/>
      <c r="BV198" s="35"/>
    </row>
    <row r="199" spans="2:74" ht="15" thickBot="1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BN199" s="35"/>
      <c r="BO199" s="35"/>
      <c r="BP199" s="35"/>
      <c r="BQ199" s="35"/>
      <c r="BR199" s="35"/>
      <c r="BS199" s="35"/>
      <c r="BT199" s="35"/>
      <c r="BU199" s="35"/>
      <c r="BV199" s="35"/>
    </row>
    <row r="200" spans="2:74" ht="15" thickBot="1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BN200" s="35"/>
      <c r="BO200" s="35"/>
      <c r="BP200" s="35"/>
      <c r="BQ200" s="35"/>
      <c r="BR200" s="35"/>
      <c r="BS200" s="35"/>
      <c r="BT200" s="35"/>
      <c r="BU200" s="35"/>
      <c r="BV200" s="35"/>
    </row>
    <row r="201" spans="2:74" ht="15" thickBot="1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BN201" s="35"/>
      <c r="BO201" s="35"/>
      <c r="BP201" s="35"/>
      <c r="BQ201" s="35"/>
      <c r="BR201" s="35"/>
      <c r="BS201" s="35"/>
      <c r="BT201" s="35"/>
      <c r="BU201" s="35"/>
      <c r="BV201" s="35"/>
    </row>
    <row r="202" spans="2:74" ht="15" thickBot="1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BN202" s="35"/>
      <c r="BO202" s="35"/>
      <c r="BP202" s="35"/>
      <c r="BQ202" s="35"/>
      <c r="BR202" s="35"/>
      <c r="BS202" s="35"/>
      <c r="BT202" s="35"/>
      <c r="BU202" s="35"/>
      <c r="BV202" s="35"/>
    </row>
    <row r="203" spans="2:74" ht="15" thickBot="1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BN203" s="35"/>
      <c r="BO203" s="35"/>
      <c r="BP203" s="35"/>
      <c r="BQ203" s="35"/>
      <c r="BR203" s="35"/>
      <c r="BS203" s="35"/>
      <c r="BT203" s="35"/>
      <c r="BU203" s="35"/>
      <c r="BV203" s="35"/>
    </row>
    <row r="204" spans="2:74" ht="15" thickBot="1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BN204" s="35"/>
      <c r="BO204" s="35"/>
      <c r="BP204" s="35"/>
      <c r="BQ204" s="35"/>
      <c r="BR204" s="35"/>
      <c r="BS204" s="35"/>
      <c r="BT204" s="35"/>
      <c r="BU204" s="35"/>
      <c r="BV204" s="35"/>
    </row>
    <row r="205" spans="2:74" ht="15" thickBot="1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BN205" s="35"/>
      <c r="BO205" s="35"/>
      <c r="BP205" s="35"/>
      <c r="BQ205" s="35"/>
      <c r="BR205" s="35"/>
      <c r="BS205" s="35"/>
      <c r="BT205" s="35"/>
      <c r="BU205" s="35"/>
      <c r="BV205" s="35"/>
    </row>
    <row r="206" spans="2:74" ht="15" thickBot="1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BN206" s="35"/>
      <c r="BO206" s="35"/>
      <c r="BP206" s="35"/>
      <c r="BQ206" s="35"/>
      <c r="BR206" s="35"/>
      <c r="BS206" s="35"/>
      <c r="BT206" s="35"/>
      <c r="BU206" s="35"/>
      <c r="BV206" s="35"/>
    </row>
    <row r="207" spans="2:74" ht="15" thickBot="1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BN207" s="35"/>
      <c r="BO207" s="35"/>
      <c r="BP207" s="35"/>
      <c r="BQ207" s="35"/>
      <c r="BR207" s="35"/>
      <c r="BS207" s="35"/>
      <c r="BT207" s="35"/>
      <c r="BU207" s="35"/>
      <c r="BV207" s="35"/>
    </row>
    <row r="208" spans="2:74" ht="15" thickBot="1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BN208" s="35"/>
      <c r="BO208" s="35"/>
      <c r="BP208" s="35"/>
      <c r="BQ208" s="35"/>
      <c r="BR208" s="35"/>
      <c r="BS208" s="35"/>
      <c r="BT208" s="35"/>
      <c r="BU208" s="35"/>
      <c r="BV208" s="35"/>
    </row>
    <row r="209" spans="2:74" ht="15" thickBot="1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BN209" s="35"/>
      <c r="BO209" s="35"/>
      <c r="BP209" s="35"/>
      <c r="BQ209" s="35"/>
      <c r="BR209" s="35"/>
      <c r="BS209" s="35"/>
      <c r="BT209" s="35"/>
      <c r="BU209" s="35"/>
      <c r="BV209" s="35"/>
    </row>
    <row r="210" spans="2:74" ht="15" thickBot="1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BN210" s="35"/>
      <c r="BO210" s="35"/>
      <c r="BP210" s="35"/>
      <c r="BQ210" s="35"/>
      <c r="BR210" s="35"/>
      <c r="BS210" s="35"/>
      <c r="BT210" s="35"/>
      <c r="BU210" s="35"/>
      <c r="BV210" s="35"/>
    </row>
    <row r="211" spans="2:74" ht="15" thickBot="1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BN211" s="35"/>
      <c r="BO211" s="35"/>
      <c r="BP211" s="35"/>
      <c r="BQ211" s="35"/>
      <c r="BR211" s="35"/>
      <c r="BS211" s="35"/>
      <c r="BT211" s="35"/>
      <c r="BU211" s="35"/>
      <c r="BV211" s="35"/>
    </row>
    <row r="212" spans="2:74" ht="15" thickBot="1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BN212" s="35"/>
      <c r="BO212" s="35"/>
      <c r="BP212" s="35"/>
      <c r="BQ212" s="35"/>
      <c r="BR212" s="35"/>
      <c r="BS212" s="35"/>
      <c r="BT212" s="35"/>
      <c r="BU212" s="35"/>
      <c r="BV212" s="35"/>
    </row>
    <row r="213" spans="2:74" ht="15" thickBot="1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BN213" s="35"/>
      <c r="BO213" s="35"/>
      <c r="BP213" s="35"/>
      <c r="BQ213" s="35"/>
      <c r="BR213" s="35"/>
      <c r="BS213" s="35"/>
      <c r="BT213" s="35"/>
      <c r="BU213" s="35"/>
      <c r="BV213" s="35"/>
    </row>
    <row r="214" spans="2:74" ht="15" thickBot="1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BN214" s="35"/>
      <c r="BO214" s="35"/>
      <c r="BP214" s="35"/>
      <c r="BQ214" s="35"/>
      <c r="BR214" s="35"/>
      <c r="BS214" s="35"/>
      <c r="BT214" s="35"/>
      <c r="BU214" s="35"/>
      <c r="BV214" s="35"/>
    </row>
    <row r="215" spans="2:74" ht="15" thickBot="1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BN215" s="35"/>
      <c r="BO215" s="35"/>
      <c r="BP215" s="35"/>
      <c r="BQ215" s="35"/>
      <c r="BR215" s="35"/>
      <c r="BS215" s="35"/>
      <c r="BT215" s="35"/>
      <c r="BU215" s="35"/>
      <c r="BV215" s="35"/>
    </row>
    <row r="216" spans="2:74" ht="15" thickBot="1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BN216" s="35"/>
      <c r="BO216" s="35"/>
      <c r="BP216" s="35"/>
      <c r="BQ216" s="35"/>
      <c r="BR216" s="35"/>
      <c r="BS216" s="35"/>
      <c r="BT216" s="35"/>
      <c r="BU216" s="35"/>
      <c r="BV216" s="35"/>
    </row>
    <row r="217" spans="2:74" ht="15" thickBot="1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BN217" s="35"/>
      <c r="BO217" s="35"/>
      <c r="BP217" s="35"/>
      <c r="BQ217" s="35"/>
      <c r="BR217" s="35"/>
      <c r="BS217" s="35"/>
      <c r="BT217" s="35"/>
      <c r="BU217" s="35"/>
      <c r="BV217" s="35"/>
    </row>
    <row r="218" spans="2:74" ht="15" thickBot="1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BN218" s="35"/>
      <c r="BO218" s="35"/>
      <c r="BP218" s="35"/>
      <c r="BQ218" s="35"/>
      <c r="BR218" s="35"/>
      <c r="BS218" s="35"/>
      <c r="BT218" s="35"/>
      <c r="BU218" s="35"/>
      <c r="BV218" s="35"/>
    </row>
    <row r="219" spans="2:74" ht="15" thickBot="1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BN219" s="35"/>
      <c r="BO219" s="35"/>
      <c r="BP219" s="35"/>
      <c r="BQ219" s="35"/>
      <c r="BR219" s="35"/>
      <c r="BS219" s="35"/>
      <c r="BT219" s="35"/>
      <c r="BU219" s="35"/>
      <c r="BV219" s="35"/>
    </row>
    <row r="220" spans="2:74" ht="15" thickBot="1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BN220" s="35"/>
      <c r="BO220" s="35"/>
      <c r="BP220" s="35"/>
      <c r="BQ220" s="35"/>
      <c r="BR220" s="35"/>
      <c r="BS220" s="35"/>
      <c r="BT220" s="35"/>
      <c r="BU220" s="35"/>
      <c r="BV220" s="35"/>
    </row>
    <row r="221" spans="2:74" ht="15" thickBot="1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BN221" s="35"/>
      <c r="BO221" s="35"/>
      <c r="BP221" s="35"/>
      <c r="BQ221" s="35"/>
      <c r="BR221" s="35"/>
      <c r="BS221" s="35"/>
      <c r="BT221" s="35"/>
      <c r="BU221" s="35"/>
      <c r="BV221" s="35"/>
    </row>
    <row r="222" spans="2:74" ht="15" thickBot="1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BN222" s="35"/>
      <c r="BO222" s="35"/>
      <c r="BP222" s="35"/>
      <c r="BQ222" s="35"/>
      <c r="BR222" s="35"/>
      <c r="BS222" s="35"/>
      <c r="BT222" s="35"/>
      <c r="BU222" s="35"/>
      <c r="BV222" s="35"/>
    </row>
    <row r="223" spans="2:74" ht="15" thickBot="1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BN223" s="35"/>
      <c r="BO223" s="35"/>
      <c r="BP223" s="35"/>
      <c r="BQ223" s="35"/>
      <c r="BR223" s="35"/>
      <c r="BS223" s="35"/>
      <c r="BT223" s="35"/>
      <c r="BU223" s="35"/>
      <c r="BV223" s="35"/>
    </row>
    <row r="224" spans="2:74" ht="15" thickBot="1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BN224" s="35"/>
      <c r="BO224" s="35"/>
      <c r="BP224" s="35"/>
      <c r="BQ224" s="35"/>
      <c r="BR224" s="35"/>
      <c r="BS224" s="35"/>
      <c r="BT224" s="35"/>
      <c r="BU224" s="35"/>
      <c r="BV224" s="35"/>
    </row>
    <row r="225" spans="2:74" ht="15" thickBot="1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BN225" s="35"/>
      <c r="BO225" s="35"/>
      <c r="BP225" s="35"/>
      <c r="BQ225" s="35"/>
      <c r="BR225" s="35"/>
      <c r="BS225" s="35"/>
      <c r="BT225" s="35"/>
      <c r="BU225" s="35"/>
      <c r="BV225" s="35"/>
    </row>
    <row r="226" spans="2:74" ht="15" thickBot="1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BN226" s="35"/>
      <c r="BO226" s="35"/>
      <c r="BP226" s="35"/>
      <c r="BQ226" s="35"/>
      <c r="BR226" s="35"/>
      <c r="BS226" s="35"/>
      <c r="BT226" s="35"/>
      <c r="BU226" s="35"/>
      <c r="BV226" s="35"/>
    </row>
    <row r="227" spans="2:74" ht="15" thickBot="1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BN227" s="35"/>
      <c r="BO227" s="35"/>
      <c r="BP227" s="35"/>
      <c r="BQ227" s="35"/>
      <c r="BR227" s="35"/>
      <c r="BS227" s="35"/>
      <c r="BT227" s="35"/>
      <c r="BU227" s="35"/>
      <c r="BV227" s="35"/>
    </row>
    <row r="228" spans="2:74" ht="15" thickBot="1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BN228" s="35"/>
      <c r="BO228" s="35"/>
      <c r="BP228" s="35"/>
      <c r="BQ228" s="35"/>
      <c r="BR228" s="35"/>
      <c r="BS228" s="35"/>
      <c r="BT228" s="35"/>
      <c r="BU228" s="35"/>
      <c r="BV228" s="35"/>
    </row>
    <row r="229" spans="2:74" ht="15" thickBot="1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BN229" s="35"/>
      <c r="BO229" s="35"/>
      <c r="BP229" s="35"/>
      <c r="BQ229" s="35"/>
      <c r="BR229" s="35"/>
      <c r="BS229" s="35"/>
      <c r="BT229" s="35"/>
      <c r="BU229" s="35"/>
      <c r="BV229" s="35"/>
    </row>
    <row r="230" spans="2:74" ht="15" thickBot="1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BN230" s="35"/>
      <c r="BO230" s="35"/>
      <c r="BP230" s="35"/>
      <c r="BQ230" s="35"/>
      <c r="BR230" s="35"/>
      <c r="BS230" s="35"/>
      <c r="BT230" s="35"/>
      <c r="BU230" s="35"/>
      <c r="BV230" s="35"/>
    </row>
    <row r="231" spans="2:74" ht="15" thickBot="1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BN231" s="35"/>
      <c r="BO231" s="35"/>
      <c r="BP231" s="35"/>
      <c r="BQ231" s="35"/>
      <c r="BR231" s="35"/>
      <c r="BS231" s="35"/>
      <c r="BT231" s="35"/>
      <c r="BU231" s="35"/>
      <c r="BV231" s="35"/>
    </row>
    <row r="232" spans="2:74" ht="15" thickBot="1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BN232" s="35"/>
      <c r="BO232" s="35"/>
      <c r="BP232" s="35"/>
      <c r="BQ232" s="35"/>
      <c r="BR232" s="35"/>
      <c r="BS232" s="35"/>
      <c r="BT232" s="35"/>
      <c r="BU232" s="35"/>
      <c r="BV232" s="35"/>
    </row>
    <row r="233" spans="2:74" ht="15" thickBot="1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BN233" s="35"/>
      <c r="BO233" s="35"/>
      <c r="BP233" s="35"/>
      <c r="BQ233" s="35"/>
      <c r="BR233" s="35"/>
      <c r="BS233" s="35"/>
      <c r="BT233" s="35"/>
      <c r="BU233" s="35"/>
      <c r="BV233" s="35"/>
    </row>
    <row r="234" spans="2:74" ht="15" thickBot="1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BN234" s="35"/>
      <c r="BO234" s="35"/>
      <c r="BP234" s="35"/>
      <c r="BQ234" s="35"/>
      <c r="BR234" s="35"/>
      <c r="BS234" s="35"/>
      <c r="BT234" s="35"/>
      <c r="BU234" s="35"/>
      <c r="BV234" s="35"/>
    </row>
    <row r="235" spans="2:74" ht="15" thickBot="1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BN235" s="35"/>
      <c r="BO235" s="35"/>
      <c r="BP235" s="35"/>
      <c r="BQ235" s="35"/>
      <c r="BR235" s="35"/>
      <c r="BS235" s="35"/>
      <c r="BT235" s="35"/>
      <c r="BU235" s="35"/>
      <c r="BV235" s="35"/>
    </row>
    <row r="236" spans="2:74" ht="15" thickBot="1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BN236" s="35"/>
      <c r="BO236" s="35"/>
      <c r="BP236" s="35"/>
      <c r="BQ236" s="35"/>
      <c r="BR236" s="35"/>
      <c r="BS236" s="35"/>
      <c r="BT236" s="35"/>
      <c r="BU236" s="35"/>
      <c r="BV236" s="35"/>
    </row>
    <row r="237" spans="2:74" ht="15" thickBot="1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BN237" s="35"/>
      <c r="BO237" s="35"/>
      <c r="BP237" s="35"/>
      <c r="BQ237" s="35"/>
      <c r="BR237" s="35"/>
      <c r="BS237" s="35"/>
      <c r="BT237" s="35"/>
      <c r="BU237" s="35"/>
      <c r="BV237" s="35"/>
    </row>
    <row r="238" spans="2:74" ht="15" thickBot="1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BN238" s="35"/>
      <c r="BO238" s="35"/>
      <c r="BP238" s="35"/>
      <c r="BQ238" s="35"/>
      <c r="BR238" s="35"/>
      <c r="BS238" s="35"/>
      <c r="BT238" s="35"/>
      <c r="BU238" s="35"/>
      <c r="BV238" s="35"/>
    </row>
    <row r="239" spans="2:74" ht="15" thickBot="1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BN239" s="35"/>
      <c r="BO239" s="35"/>
      <c r="BP239" s="35"/>
      <c r="BQ239" s="35"/>
      <c r="BR239" s="35"/>
      <c r="BS239" s="35"/>
      <c r="BT239" s="35"/>
      <c r="BU239" s="35"/>
      <c r="BV239" s="35"/>
    </row>
    <row r="240" spans="2:74" ht="15" thickBot="1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BN240" s="35"/>
      <c r="BO240" s="35"/>
      <c r="BP240" s="35"/>
      <c r="BQ240" s="35"/>
      <c r="BR240" s="35"/>
      <c r="BS240" s="35"/>
      <c r="BT240" s="35"/>
      <c r="BU240" s="35"/>
      <c r="BV240" s="35"/>
    </row>
    <row r="241" spans="2:74" ht="15" thickBot="1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BN241" s="35"/>
      <c r="BO241" s="35"/>
      <c r="BP241" s="35"/>
      <c r="BQ241" s="35"/>
      <c r="BR241" s="35"/>
      <c r="BS241" s="35"/>
      <c r="BT241" s="35"/>
      <c r="BU241" s="35"/>
      <c r="BV241" s="35"/>
    </row>
    <row r="242" spans="2:74" ht="15" thickBot="1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BN242" s="35"/>
      <c r="BO242" s="35"/>
      <c r="BP242" s="35"/>
      <c r="BQ242" s="35"/>
      <c r="BR242" s="35"/>
      <c r="BS242" s="35"/>
      <c r="BT242" s="35"/>
      <c r="BU242" s="35"/>
      <c r="BV242" s="35"/>
    </row>
    <row r="243" spans="2:74" ht="15" thickBot="1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BN243" s="35"/>
      <c r="BO243" s="35"/>
      <c r="BP243" s="35"/>
      <c r="BQ243" s="35"/>
      <c r="BR243" s="35"/>
      <c r="BS243" s="35"/>
      <c r="BT243" s="35"/>
      <c r="BU243" s="35"/>
      <c r="BV243" s="35"/>
    </row>
    <row r="244" spans="2:74" ht="15" thickBot="1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BN244" s="35"/>
      <c r="BO244" s="35"/>
      <c r="BP244" s="35"/>
      <c r="BQ244" s="35"/>
      <c r="BR244" s="35"/>
      <c r="BS244" s="35"/>
      <c r="BT244" s="35"/>
      <c r="BU244" s="35"/>
      <c r="BV244" s="35"/>
    </row>
    <row r="245" spans="2:74" ht="15" thickBot="1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BN245" s="35"/>
      <c r="BO245" s="35"/>
      <c r="BP245" s="35"/>
      <c r="BQ245" s="35"/>
      <c r="BR245" s="35"/>
      <c r="BS245" s="35"/>
      <c r="BT245" s="35"/>
      <c r="BU245" s="35"/>
      <c r="BV245" s="35"/>
    </row>
    <row r="246" spans="2:74" ht="15" thickBot="1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BN246" s="35"/>
      <c r="BO246" s="35"/>
      <c r="BP246" s="35"/>
      <c r="BQ246" s="35"/>
      <c r="BR246" s="35"/>
      <c r="BS246" s="35"/>
      <c r="BT246" s="35"/>
      <c r="BU246" s="35"/>
      <c r="BV246" s="35"/>
    </row>
    <row r="247" spans="2:74" ht="15" thickBot="1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BN247" s="35"/>
      <c r="BO247" s="35"/>
      <c r="BP247" s="35"/>
      <c r="BQ247" s="35"/>
      <c r="BR247" s="35"/>
      <c r="BS247" s="35"/>
      <c r="BT247" s="35"/>
      <c r="BU247" s="35"/>
      <c r="BV247" s="35"/>
    </row>
    <row r="248" spans="2:74" ht="15" thickBot="1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BN248" s="35"/>
      <c r="BO248" s="35"/>
      <c r="BP248" s="35"/>
      <c r="BQ248" s="35"/>
      <c r="BR248" s="35"/>
      <c r="BS248" s="35"/>
      <c r="BT248" s="35"/>
      <c r="BU248" s="35"/>
      <c r="BV248" s="35"/>
    </row>
    <row r="249" spans="2:74" ht="15" thickBot="1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BN249" s="35"/>
      <c r="BO249" s="35"/>
      <c r="BP249" s="35"/>
      <c r="BQ249" s="35"/>
      <c r="BR249" s="35"/>
      <c r="BS249" s="35"/>
      <c r="BT249" s="35"/>
      <c r="BU249" s="35"/>
      <c r="BV249" s="35"/>
    </row>
    <row r="250" spans="2:74" ht="15" thickBot="1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BN250" s="35"/>
      <c r="BO250" s="35"/>
      <c r="BP250" s="35"/>
      <c r="BQ250" s="35"/>
      <c r="BR250" s="35"/>
      <c r="BS250" s="35"/>
      <c r="BT250" s="35"/>
      <c r="BU250" s="35"/>
      <c r="BV250" s="35"/>
    </row>
    <row r="251" spans="2:74" ht="15" thickBot="1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BN251" s="35"/>
      <c r="BO251" s="35"/>
      <c r="BP251" s="35"/>
      <c r="BQ251" s="35"/>
      <c r="BR251" s="35"/>
      <c r="BS251" s="35"/>
      <c r="BT251" s="35"/>
      <c r="BU251" s="35"/>
      <c r="BV251" s="35"/>
    </row>
    <row r="252" spans="2:74" ht="15" thickBot="1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BN252" s="35"/>
      <c r="BO252" s="35"/>
      <c r="BP252" s="35"/>
      <c r="BQ252" s="35"/>
      <c r="BR252" s="35"/>
      <c r="BS252" s="35"/>
      <c r="BT252" s="35"/>
      <c r="BU252" s="35"/>
      <c r="BV252" s="35"/>
    </row>
    <row r="253" spans="2:74" ht="15" thickBot="1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BN253" s="35"/>
      <c r="BO253" s="35"/>
      <c r="BP253" s="35"/>
      <c r="BQ253" s="35"/>
      <c r="BR253" s="35"/>
      <c r="BS253" s="35"/>
      <c r="BT253" s="35"/>
      <c r="BU253" s="35"/>
      <c r="BV253" s="35"/>
    </row>
    <row r="254" spans="2:74" ht="15" thickBot="1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BN254" s="35"/>
      <c r="BO254" s="35"/>
      <c r="BP254" s="35"/>
      <c r="BQ254" s="35"/>
      <c r="BR254" s="35"/>
      <c r="BS254" s="35"/>
      <c r="BT254" s="35"/>
      <c r="BU254" s="35"/>
      <c r="BV254" s="35"/>
    </row>
    <row r="255" spans="2:74" ht="15" thickBot="1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BN255" s="35"/>
      <c r="BO255" s="35"/>
      <c r="BP255" s="35"/>
      <c r="BQ255" s="35"/>
      <c r="BR255" s="35"/>
      <c r="BS255" s="35"/>
      <c r="BT255" s="35"/>
      <c r="BU255" s="35"/>
      <c r="BV255" s="35"/>
    </row>
    <row r="256" spans="2:74" ht="15" thickBot="1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BN256" s="35"/>
      <c r="BO256" s="35"/>
      <c r="BP256" s="35"/>
      <c r="BQ256" s="35"/>
      <c r="BR256" s="35"/>
      <c r="BS256" s="35"/>
      <c r="BT256" s="35"/>
      <c r="BU256" s="35"/>
      <c r="BV256" s="35"/>
    </row>
    <row r="257" spans="2:74" ht="15" thickBot="1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BN257" s="35"/>
      <c r="BO257" s="35"/>
      <c r="BP257" s="35"/>
      <c r="BQ257" s="35"/>
      <c r="BR257" s="35"/>
      <c r="BS257" s="35"/>
      <c r="BT257" s="35"/>
      <c r="BU257" s="35"/>
      <c r="BV257" s="35"/>
    </row>
    <row r="258" spans="2:74" ht="15" thickBot="1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BN258" s="35"/>
      <c r="BO258" s="35"/>
      <c r="BP258" s="35"/>
      <c r="BQ258" s="35"/>
      <c r="BR258" s="35"/>
      <c r="BS258" s="35"/>
      <c r="BT258" s="35"/>
      <c r="BU258" s="35"/>
      <c r="BV258" s="35"/>
    </row>
    <row r="259" spans="2:74" ht="15" thickBot="1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BN259" s="35"/>
      <c r="BO259" s="35"/>
      <c r="BP259" s="35"/>
      <c r="BQ259" s="35"/>
      <c r="BR259" s="35"/>
      <c r="BS259" s="35"/>
      <c r="BT259" s="35"/>
      <c r="BU259" s="35"/>
      <c r="BV259" s="35"/>
    </row>
    <row r="260" spans="2:74" ht="15" thickBot="1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BN260" s="35"/>
      <c r="BO260" s="35"/>
      <c r="BP260" s="35"/>
      <c r="BQ260" s="35"/>
      <c r="BR260" s="35"/>
      <c r="BS260" s="35"/>
      <c r="BT260" s="35"/>
      <c r="BU260" s="35"/>
      <c r="BV260" s="35"/>
    </row>
    <row r="261" spans="2:74" ht="15" thickBot="1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BN261" s="35"/>
      <c r="BO261" s="35"/>
      <c r="BP261" s="35"/>
      <c r="BQ261" s="35"/>
      <c r="BR261" s="35"/>
      <c r="BS261" s="35"/>
      <c r="BT261" s="35"/>
      <c r="BU261" s="35"/>
      <c r="BV261" s="35"/>
    </row>
    <row r="262" spans="2:74" ht="15" thickBot="1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BN262" s="35"/>
      <c r="BO262" s="35"/>
      <c r="BP262" s="35"/>
      <c r="BQ262" s="35"/>
      <c r="BR262" s="35"/>
      <c r="BS262" s="35"/>
      <c r="BT262" s="35"/>
      <c r="BU262" s="35"/>
      <c r="BV262" s="35"/>
    </row>
    <row r="263" spans="2:74" ht="15" thickBot="1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BN263" s="35"/>
      <c r="BO263" s="35"/>
      <c r="BP263" s="35"/>
      <c r="BQ263" s="35"/>
      <c r="BR263" s="35"/>
      <c r="BS263" s="35"/>
      <c r="BT263" s="35"/>
      <c r="BU263" s="35"/>
      <c r="BV263" s="35"/>
    </row>
    <row r="264" spans="2:74" ht="15" thickBot="1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BN264" s="35"/>
      <c r="BO264" s="35"/>
      <c r="BP264" s="35"/>
      <c r="BQ264" s="35"/>
      <c r="BR264" s="35"/>
      <c r="BS264" s="35"/>
      <c r="BT264" s="35"/>
      <c r="BU264" s="35"/>
      <c r="BV264" s="35"/>
    </row>
    <row r="265" spans="2:74" ht="15" thickBot="1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BN265" s="35"/>
      <c r="BO265" s="35"/>
      <c r="BP265" s="35"/>
      <c r="BQ265" s="35"/>
      <c r="BR265" s="35"/>
      <c r="BS265" s="35"/>
      <c r="BT265" s="35"/>
      <c r="BU265" s="35"/>
      <c r="BV265" s="35"/>
    </row>
    <row r="266" spans="2:74" ht="15" thickBot="1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BN266" s="35"/>
      <c r="BO266" s="35"/>
      <c r="BP266" s="35"/>
      <c r="BQ266" s="35"/>
      <c r="BR266" s="35"/>
      <c r="BS266" s="35"/>
      <c r="BT266" s="35"/>
      <c r="BU266" s="35"/>
      <c r="BV266" s="35"/>
    </row>
    <row r="267" spans="2:74" ht="15" thickBot="1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BN267" s="35"/>
      <c r="BO267" s="35"/>
      <c r="BP267" s="35"/>
      <c r="BQ267" s="35"/>
      <c r="BR267" s="35"/>
      <c r="BS267" s="35"/>
      <c r="BT267" s="35"/>
      <c r="BU267" s="35"/>
      <c r="BV267" s="35"/>
    </row>
    <row r="268" spans="2:74" ht="15" thickBot="1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BN268" s="35"/>
      <c r="BO268" s="35"/>
      <c r="BP268" s="35"/>
      <c r="BQ268" s="35"/>
      <c r="BR268" s="35"/>
      <c r="BS268" s="35"/>
      <c r="BT268" s="35"/>
      <c r="BU268" s="35"/>
      <c r="BV268" s="35"/>
    </row>
    <row r="269" spans="2:74" ht="15" thickBot="1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BN269" s="35"/>
      <c r="BO269" s="35"/>
      <c r="BP269" s="35"/>
      <c r="BQ269" s="35"/>
      <c r="BR269" s="35"/>
      <c r="BS269" s="35"/>
      <c r="BT269" s="35"/>
      <c r="BU269" s="35"/>
      <c r="BV269" s="35"/>
    </row>
    <row r="270" spans="2:74" ht="15" thickBot="1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BN270" s="35"/>
      <c r="BO270" s="35"/>
      <c r="BP270" s="35"/>
      <c r="BQ270" s="35"/>
      <c r="BR270" s="35"/>
      <c r="BS270" s="35"/>
      <c r="BT270" s="35"/>
      <c r="BU270" s="35"/>
      <c r="BV270" s="35"/>
    </row>
    <row r="271" spans="2:74" ht="15" thickBot="1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BN271" s="35"/>
      <c r="BO271" s="35"/>
      <c r="BP271" s="35"/>
      <c r="BQ271" s="35"/>
      <c r="BR271" s="35"/>
      <c r="BS271" s="35"/>
      <c r="BT271" s="35"/>
      <c r="BU271" s="35"/>
      <c r="BV271" s="35"/>
    </row>
    <row r="272" spans="2:74" ht="15" thickBot="1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BN272" s="35"/>
      <c r="BO272" s="35"/>
      <c r="BP272" s="35"/>
      <c r="BQ272" s="35"/>
      <c r="BR272" s="35"/>
      <c r="BS272" s="35"/>
      <c r="BT272" s="35"/>
      <c r="BU272" s="35"/>
      <c r="BV272" s="35"/>
    </row>
    <row r="273" spans="2:74" ht="15" thickBot="1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BN273" s="35"/>
      <c r="BO273" s="35"/>
      <c r="BP273" s="35"/>
      <c r="BQ273" s="35"/>
      <c r="BR273" s="35"/>
      <c r="BS273" s="35"/>
      <c r="BT273" s="35"/>
      <c r="BU273" s="35"/>
      <c r="BV273" s="35"/>
    </row>
    <row r="274" spans="2:74" ht="15" thickBot="1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BN274" s="35"/>
      <c r="BO274" s="35"/>
      <c r="BP274" s="35"/>
      <c r="BQ274" s="35"/>
      <c r="BR274" s="35"/>
      <c r="BS274" s="35"/>
      <c r="BT274" s="35"/>
      <c r="BU274" s="35"/>
      <c r="BV274" s="35"/>
    </row>
    <row r="275" spans="2:74" ht="15" thickBot="1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BN275" s="35"/>
      <c r="BO275" s="35"/>
      <c r="BP275" s="35"/>
      <c r="BQ275" s="35"/>
      <c r="BR275" s="35"/>
      <c r="BS275" s="35"/>
      <c r="BT275" s="35"/>
      <c r="BU275" s="35"/>
      <c r="BV275" s="35"/>
    </row>
    <row r="276" spans="2:74" ht="15" thickBot="1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BN276" s="35"/>
      <c r="BO276" s="35"/>
      <c r="BP276" s="35"/>
      <c r="BQ276" s="35"/>
      <c r="BR276" s="35"/>
      <c r="BS276" s="35"/>
      <c r="BT276" s="35"/>
      <c r="BU276" s="35"/>
      <c r="BV276" s="35"/>
    </row>
    <row r="277" spans="2:74" ht="15" thickBot="1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BN277" s="35"/>
      <c r="BO277" s="35"/>
      <c r="BP277" s="35"/>
      <c r="BQ277" s="35"/>
      <c r="BR277" s="35"/>
      <c r="BS277" s="35"/>
      <c r="BT277" s="35"/>
      <c r="BU277" s="35"/>
      <c r="BV277" s="35"/>
    </row>
    <row r="278" spans="2:74" ht="15" thickBot="1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BN278" s="35"/>
      <c r="BO278" s="35"/>
      <c r="BP278" s="35"/>
      <c r="BQ278" s="35"/>
      <c r="BR278" s="35"/>
      <c r="BS278" s="35"/>
      <c r="BT278" s="35"/>
      <c r="BU278" s="35"/>
      <c r="BV278" s="35"/>
    </row>
    <row r="279" spans="2:74" ht="15" thickBot="1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</row>
    <row r="280" spans="2:74" ht="15" thickBot="1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</row>
    <row r="281" spans="2:74" ht="15" thickBot="1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</row>
    <row r="282" spans="2:74" ht="15" thickBot="1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</row>
    <row r="283" spans="2:74" ht="15" thickBot="1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</row>
    <row r="284" spans="2:74" ht="15" thickBot="1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</row>
    <row r="285" spans="2:74" ht="15" thickBot="1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</row>
    <row r="286" spans="2:74" ht="15" thickBot="1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</row>
    <row r="287" spans="2:74" ht="15" thickBot="1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</row>
    <row r="288" spans="2:74" ht="15" thickBot="1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</row>
    <row r="289" spans="2:41" ht="15" thickBot="1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</row>
    <row r="290" spans="2:41" ht="15" thickBot="1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</row>
    <row r="291" spans="2:41" ht="15" thickBot="1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</row>
    <row r="292" spans="2:41" ht="15" thickBot="1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</row>
    <row r="293" spans="2:41" ht="15" thickBot="1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</row>
    <row r="294" spans="2:41" ht="15" thickBot="1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</row>
    <row r="295" spans="2:41" ht="15" thickBot="1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</row>
    <row r="296" spans="2:41" ht="15" thickBot="1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</row>
    <row r="297" spans="2:41" ht="15" thickBot="1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</row>
    <row r="298" spans="2:41" ht="15" thickBot="1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</row>
    <row r="299" spans="2:41" ht="15" thickBot="1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</row>
    <row r="300" spans="2:41" ht="15" thickBot="1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</row>
    <row r="301" spans="2:41" ht="15" thickBot="1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</row>
    <row r="302" spans="2:41" ht="15" thickBot="1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</row>
    <row r="303" spans="2:41" ht="15" thickBot="1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</row>
    <row r="304" spans="2:41" ht="15" thickBot="1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</row>
    <row r="305" spans="2:41" ht="15" thickBot="1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</row>
    <row r="306" spans="2:41" ht="15" thickBot="1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</row>
    <row r="307" spans="2:41" ht="15" thickBot="1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</row>
    <row r="308" spans="2:41" ht="15" thickBot="1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</row>
    <row r="309" spans="2:41" ht="15" thickBot="1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</row>
    <row r="310" spans="2:41" ht="15" thickBot="1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</row>
    <row r="311" spans="2:41" ht="15" thickBot="1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</row>
    <row r="312" spans="2:41" ht="15" thickBot="1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</row>
    <row r="313" spans="2:41" ht="15" thickBot="1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</row>
    <row r="314" spans="2:41" ht="15" thickBot="1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</row>
    <row r="315" spans="2:41" ht="15" thickBot="1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</row>
    <row r="316" spans="2:41" ht="15" thickBot="1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</row>
    <row r="317" spans="2:41" ht="15" thickBot="1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</row>
    <row r="318" spans="2:41" ht="15" thickBot="1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</row>
    <row r="319" spans="2:41" ht="15" thickBot="1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</row>
    <row r="320" spans="2:41" ht="15" thickBot="1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</row>
    <row r="321" spans="2:41" ht="15" thickBot="1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</row>
    <row r="322" spans="2:41" ht="15" thickBot="1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</row>
    <row r="323" spans="2:41" ht="15" thickBot="1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</row>
    <row r="324" spans="2:41" ht="15" thickBot="1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</row>
    <row r="325" spans="2:41" ht="15" thickBot="1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</row>
    <row r="326" spans="2:41" ht="15" thickBot="1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</row>
    <row r="327" spans="2:41" ht="15" thickBot="1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</row>
    <row r="328" spans="2:41" ht="15" thickBot="1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</row>
    <row r="329" spans="2:41" ht="15" thickBot="1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</row>
    <row r="330" spans="2:41" ht="15" thickBot="1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</row>
    <row r="331" spans="2:41" ht="15" thickBot="1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</row>
    <row r="332" spans="2:41" ht="15" thickBot="1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</row>
    <row r="333" spans="2:41" ht="15" thickBot="1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</row>
    <row r="334" spans="2:41" ht="15" thickBot="1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</row>
    <row r="335" spans="2:41" ht="15" thickBot="1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</row>
    <row r="336" spans="2:41" ht="15" thickBot="1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</row>
    <row r="337" spans="2:41" ht="15" thickBot="1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</row>
    <row r="338" spans="2:41" ht="15" thickBot="1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</row>
    <row r="339" spans="2:41" ht="15" thickBot="1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</row>
    <row r="340" spans="2:41" ht="15" thickBot="1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</row>
    <row r="341" spans="2:41" ht="15" thickBot="1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</row>
    <row r="342" spans="2:41" ht="15" thickBot="1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</row>
    <row r="343" spans="2:41" ht="15" thickBot="1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</row>
    <row r="344" spans="2:41" ht="15" thickBot="1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</row>
    <row r="345" spans="2:41" ht="15" thickBot="1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</row>
    <row r="346" spans="2:41" ht="15" thickBot="1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</row>
    <row r="347" spans="2:41" ht="15" thickBot="1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</row>
    <row r="348" spans="2:41" ht="15" thickBot="1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</row>
    <row r="349" spans="2:41" ht="15" thickBot="1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</row>
    <row r="350" spans="2:41" ht="15" thickBot="1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</row>
    <row r="351" spans="2:41" ht="15" thickBot="1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</row>
    <row r="352" spans="2:41" ht="15" thickBot="1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</row>
    <row r="353" spans="2:41" ht="15" thickBot="1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</row>
    <row r="354" spans="2:41" ht="15" thickBot="1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</row>
    <row r="355" spans="2:41" ht="15" thickBot="1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</row>
    <row r="356" spans="2:41" ht="15" thickBot="1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</row>
    <row r="357" spans="2:41" ht="15" thickBot="1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</row>
    <row r="358" spans="2:41" ht="15" thickBot="1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</row>
    <row r="359" spans="2:41" ht="15" thickBot="1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</row>
    <row r="360" spans="2:41" ht="15" thickBot="1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</row>
    <row r="361" spans="2:41" ht="15" thickBot="1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</row>
    <row r="362" spans="2:41" ht="15" thickBot="1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</row>
    <row r="363" spans="2:41" ht="15" thickBot="1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</row>
    <row r="364" spans="2:41" ht="15" thickBot="1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</row>
    <row r="365" spans="2:41" ht="15" thickBot="1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</row>
    <row r="366" spans="2:41" ht="15" thickBot="1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</row>
    <row r="367" spans="2:41" ht="15" thickBot="1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</row>
    <row r="368" spans="2:41" ht="15" thickBot="1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</row>
    <row r="369" spans="2:41" ht="15" thickBot="1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</row>
    <row r="370" spans="2:41" ht="15" thickBot="1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</row>
    <row r="371" spans="2:41" ht="15" thickBot="1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</row>
    <row r="372" spans="2:41" ht="15" thickBot="1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</row>
    <row r="373" spans="2:41" ht="15" thickBot="1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</row>
    <row r="374" spans="2:41" ht="15" thickBot="1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</row>
    <row r="375" spans="2:41" ht="15" thickBot="1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</row>
    <row r="376" spans="2:41" ht="15" thickBot="1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</row>
    <row r="377" spans="2:41" ht="15" thickBot="1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</row>
    <row r="378" spans="2:41" ht="15" thickBot="1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</row>
    <row r="379" spans="2:41" ht="15" thickBot="1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</row>
    <row r="380" spans="2:41" ht="15" thickBot="1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</row>
    <row r="381" spans="2:41" ht="15" thickBot="1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</row>
    <row r="382" spans="2:41" ht="15" thickBot="1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</row>
    <row r="383" spans="2:41" ht="15" thickBot="1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</row>
    <row r="384" spans="2:41" ht="15" thickBot="1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</row>
    <row r="385" spans="2:41" ht="15" thickBot="1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</row>
    <row r="386" spans="2:41" ht="15" thickBot="1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</row>
    <row r="387" spans="2:41" ht="15" thickBot="1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</row>
    <row r="388" spans="2:41" ht="15" thickBot="1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</row>
    <row r="389" spans="2:41" ht="15" thickBot="1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</row>
    <row r="390" spans="2:41" ht="15" thickBot="1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</row>
    <row r="391" spans="2:41" ht="15" thickBot="1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</row>
    <row r="392" spans="2:41" ht="15" thickBot="1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</row>
    <row r="393" spans="2:41" ht="15" thickBot="1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</row>
    <row r="394" spans="2:41" ht="15" thickBot="1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</row>
    <row r="395" spans="2:41" ht="15" thickBot="1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</row>
    <row r="396" spans="2:41" ht="15" thickBot="1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</row>
    <row r="397" spans="2:41" ht="15" thickBot="1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</row>
    <row r="398" spans="2:41" ht="15" thickBot="1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</row>
    <row r="399" spans="2:41" ht="15" thickBot="1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</row>
    <row r="400" spans="2:41" ht="15" thickBot="1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</row>
    <row r="401" spans="2:41" ht="15" thickBot="1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</row>
    <row r="402" spans="2:41" ht="15" thickBot="1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</row>
    <row r="403" spans="2:41" ht="15" thickBot="1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</row>
    <row r="404" spans="2:41" ht="15" thickBot="1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</row>
    <row r="405" spans="2:41" ht="15" thickBot="1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</row>
    <row r="406" spans="2:41" ht="15" thickBot="1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</row>
    <row r="407" spans="2:41" ht="15" thickBot="1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</row>
    <row r="408" spans="2:41" ht="15" thickBot="1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</row>
    <row r="409" spans="2:41" ht="15" thickBot="1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</row>
    <row r="410" spans="2:41" ht="15" thickBot="1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</row>
    <row r="411" spans="2:41" ht="15" thickBot="1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</row>
    <row r="412" spans="2:41" ht="15" thickBot="1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</row>
    <row r="413" spans="2:41" ht="15" thickBot="1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</row>
    <row r="414" spans="2:41" ht="15" thickBot="1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</row>
    <row r="415" spans="2:41" ht="15" thickBot="1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</row>
    <row r="416" spans="2:41" ht="15" thickBot="1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</row>
    <row r="417" spans="2:41" ht="15" thickBot="1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</row>
    <row r="418" spans="2:41" ht="15" thickBot="1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</row>
    <row r="419" spans="2:41" ht="15" thickBot="1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</row>
    <row r="420" spans="2:41" ht="15" thickBot="1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</row>
    <row r="421" spans="2:41" ht="15" thickBot="1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</row>
    <row r="422" spans="2:41" ht="15" thickBot="1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</row>
    <row r="423" spans="2:41" ht="15" thickBot="1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</row>
    <row r="424" spans="2:41" ht="15" thickBot="1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</row>
    <row r="425" spans="2:41" ht="15" thickBot="1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</row>
    <row r="426" spans="2:41" ht="15" thickBot="1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</row>
    <row r="427" spans="2:41" ht="15" thickBot="1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</row>
    <row r="428" spans="2:41" ht="15" thickBot="1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</row>
    <row r="429" spans="2:41" ht="15" thickBot="1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</row>
    <row r="430" spans="2:41" ht="15" thickBot="1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</row>
    <row r="431" spans="2:41" ht="15" thickBot="1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</row>
    <row r="432" spans="2:41" ht="15" thickBot="1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</row>
    <row r="433" spans="2:41" ht="15" thickBot="1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</row>
    <row r="434" spans="2:41" ht="15" thickBot="1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</row>
    <row r="435" spans="2:41" ht="15" thickBot="1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</row>
    <row r="436" spans="2:41" ht="15" thickBot="1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</row>
    <row r="437" spans="2:41" ht="15" thickBot="1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</row>
    <row r="438" spans="2:41" ht="15" thickBot="1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</row>
    <row r="439" spans="2:41" ht="15" thickBot="1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</row>
    <row r="440" spans="2:41" ht="15" thickBot="1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</row>
    <row r="441" spans="2:41" ht="15" thickBot="1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</row>
    <row r="442" spans="2:41" ht="15" thickBot="1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</row>
    <row r="443" spans="2:41" ht="15" thickBot="1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</row>
    <row r="444" spans="2:41" ht="15" thickBot="1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</row>
    <row r="445" spans="2:41" ht="15" thickBot="1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</row>
    <row r="446" spans="2:41" ht="15" thickBot="1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</row>
    <row r="447" spans="2:41" ht="15" thickBot="1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</row>
    <row r="448" spans="2:41" ht="15" thickBot="1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</row>
    <row r="449" spans="2:41" ht="15" thickBot="1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</row>
    <row r="450" spans="2:41" ht="15" thickBot="1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</row>
    <row r="451" spans="2:41" ht="15" thickBot="1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</row>
    <row r="452" spans="2:41" ht="15" thickBot="1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</row>
    <row r="453" spans="2:41" ht="15" thickBot="1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</row>
    <row r="454" spans="2:41" ht="15" thickBot="1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</row>
    <row r="455" spans="2:41" ht="15" thickBot="1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</row>
    <row r="456" spans="2:41" ht="15" thickBot="1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</row>
    <row r="457" spans="2:41" ht="15" thickBot="1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</row>
    <row r="458" spans="2:41" ht="15" thickBot="1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</row>
    <row r="459" spans="2:41" ht="15" thickBot="1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</row>
    <row r="460" spans="2:41" ht="15" thickBot="1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</row>
    <row r="461" spans="2:41" ht="15" thickBot="1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</row>
    <row r="462" spans="2:41" ht="15" thickBot="1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</row>
    <row r="463" spans="2:41" ht="15" thickBot="1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</row>
    <row r="464" spans="2:41" ht="15" thickBot="1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</row>
    <row r="465" spans="2:41" ht="15" thickBot="1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</row>
    <row r="466" spans="2:41" ht="15" thickBot="1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</row>
    <row r="467" spans="2:41" ht="15" thickBot="1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</row>
    <row r="468" spans="2:41" ht="15" thickBot="1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</row>
    <row r="469" spans="2:41" ht="15" thickBot="1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</row>
    <row r="470" spans="2:41" ht="15" thickBot="1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</row>
    <row r="471" spans="2:41" ht="15" thickBot="1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</row>
    <row r="472" spans="2:41" ht="15" thickBot="1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</row>
    <row r="473" spans="2:41" ht="15" thickBot="1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</row>
    <row r="474" spans="2:41" ht="15" thickBot="1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</row>
    <row r="475" spans="2:41" ht="15" thickBot="1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</row>
    <row r="476" spans="2:41" ht="15" thickBot="1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</row>
    <row r="477" spans="2:41" ht="15" thickBot="1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</row>
    <row r="478" spans="2:41" ht="15" thickBot="1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</row>
    <row r="479" spans="2:41" ht="15" thickBot="1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</row>
    <row r="480" spans="2:41" ht="15" thickBot="1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</row>
    <row r="481" spans="2:41" ht="15" thickBot="1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</row>
    <row r="482" spans="2:41" ht="15" thickBot="1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</row>
    <row r="483" spans="2:41" ht="15" thickBot="1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</row>
    <row r="484" spans="2:41" ht="15" thickBot="1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</row>
    <row r="485" spans="2:41" ht="15" thickBot="1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</row>
    <row r="486" spans="2:41" ht="15" thickBot="1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</row>
    <row r="487" spans="2:41" ht="15" thickBot="1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</row>
    <row r="488" spans="2:41" ht="15" thickBot="1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</row>
    <row r="489" spans="2:41" ht="15" thickBot="1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</row>
    <row r="490" spans="2:41" ht="15" thickBot="1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</row>
    <row r="491" spans="2:41" ht="15" thickBot="1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</row>
    <row r="492" spans="2:41" ht="15" thickBot="1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</row>
    <row r="493" spans="2:41" ht="15" thickBot="1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</row>
    <row r="494" spans="2:41" ht="15" thickBot="1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</row>
    <row r="495" spans="2:41" ht="15" thickBot="1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</row>
    <row r="496" spans="2:41" ht="15" thickBot="1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</row>
    <row r="497" spans="2:41" ht="15" thickBot="1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</row>
    <row r="498" spans="2:41" ht="15" thickBot="1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</row>
    <row r="499" spans="2:41" ht="15" thickBot="1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</row>
    <row r="500" spans="2:41" ht="15" thickBot="1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</row>
    <row r="501" spans="2:41" ht="15" thickBot="1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</row>
    <row r="502" spans="2:41" ht="15" thickBot="1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</row>
    <row r="503" spans="2:41" ht="15" thickBot="1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</row>
    <row r="504" spans="2:41" ht="15" thickBot="1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</row>
    <row r="505" spans="2:41" ht="15" thickBot="1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</row>
    <row r="506" spans="2:41" ht="15" thickBot="1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</row>
    <row r="507" spans="2:41" ht="15" thickBot="1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</row>
    <row r="508" spans="2:41" ht="15" thickBot="1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</row>
    <row r="509" spans="2:41" ht="15" thickBot="1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</row>
    <row r="510" spans="2:41" ht="15" thickBot="1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</row>
    <row r="511" spans="2:41" ht="15" thickBot="1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</row>
    <row r="512" spans="2:41" ht="15" thickBot="1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</row>
    <row r="513" spans="2:41" ht="15" thickBot="1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</row>
    <row r="514" spans="2:41" ht="15" thickBot="1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</row>
    <row r="515" spans="2:41" ht="15" thickBot="1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</row>
    <row r="516" spans="2:41" ht="15" thickBot="1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</row>
    <row r="517" spans="2:41" ht="15" thickBot="1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</row>
    <row r="518" spans="2:41" ht="15" thickBot="1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</row>
    <row r="519" spans="2:41" ht="15" thickBot="1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</row>
    <row r="520" spans="2:41" ht="15" thickBot="1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</row>
    <row r="521" spans="2:41" ht="15" thickBot="1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</row>
    <row r="522" spans="2:41" ht="15" thickBot="1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</row>
    <row r="523" spans="2:41" ht="15" thickBot="1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</row>
    <row r="524" spans="2:41" ht="15" thickBot="1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</row>
    <row r="525" spans="2:41" ht="15" thickBot="1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</row>
    <row r="526" spans="2:41" ht="15" thickBot="1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</row>
    <row r="527" spans="2:41" ht="15" thickBot="1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</row>
    <row r="528" spans="2:41" ht="15" thickBot="1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</row>
    <row r="529" spans="2:41" ht="15" thickBot="1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</row>
    <row r="530" spans="2:41" ht="15" thickBot="1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</row>
    <row r="531" spans="2:41" ht="15" thickBot="1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</row>
    <row r="532" spans="2:41" ht="15" thickBot="1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</row>
    <row r="533" spans="2:41" ht="15" thickBot="1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</row>
    <row r="534" spans="2:41" ht="15" thickBot="1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</row>
    <row r="535" spans="2:41" ht="15" thickBot="1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</row>
    <row r="536" spans="2:41" ht="15" thickBot="1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</row>
    <row r="537" spans="2:41" ht="15" thickBot="1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</row>
    <row r="538" spans="2:41" ht="15" thickBot="1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</row>
    <row r="539" spans="2:41" ht="15" thickBot="1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</row>
    <row r="540" spans="2:41" ht="15" thickBot="1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</row>
    <row r="541" spans="2:41" ht="15" thickBot="1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</row>
    <row r="542" spans="2:41" ht="15" thickBot="1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</row>
    <row r="543" spans="2:41" ht="15" thickBot="1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</row>
    <row r="544" spans="2:41" ht="15" thickBot="1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</row>
    <row r="545" spans="2:41" ht="15" thickBot="1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</row>
    <row r="546" spans="2:41" ht="15" thickBot="1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</row>
    <row r="547" spans="2:41" ht="15" thickBot="1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</row>
    <row r="548" spans="2:41" ht="15" thickBot="1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</row>
    <row r="549" spans="2:41" ht="15" thickBot="1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</row>
    <row r="550" spans="2:41" ht="15" thickBot="1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</row>
    <row r="551" spans="2:41" ht="15" thickBot="1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</row>
    <row r="552" spans="2:41" ht="15" thickBot="1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</row>
    <row r="553" spans="2:41" ht="15" thickBot="1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</row>
    <row r="554" spans="2:41" ht="15" thickBot="1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</row>
    <row r="555" spans="2:41" ht="15" thickBot="1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</row>
    <row r="556" spans="2:41" ht="15" thickBot="1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</row>
    <row r="557" spans="2:41" ht="15" thickBot="1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</row>
    <row r="558" spans="2:41" ht="15" thickBot="1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</row>
    <row r="559" spans="2:41" ht="15" thickBot="1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</row>
    <row r="560" spans="2:41" ht="15" thickBot="1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</row>
    <row r="561" spans="2:41" ht="15" thickBot="1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</row>
    <row r="562" spans="2:41" ht="15" thickBot="1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</row>
    <row r="563" spans="2:41" ht="15" thickBot="1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</row>
    <row r="564" spans="2:41" ht="15" thickBot="1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</row>
    <row r="565" spans="2:41" ht="15" thickBot="1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</row>
    <row r="566" spans="2:41" ht="15" thickBot="1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</row>
    <row r="567" spans="2:41" ht="15" thickBot="1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</row>
    <row r="568" spans="2:41" ht="15" thickBot="1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</row>
    <row r="569" spans="2:41" ht="15" thickBot="1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</row>
    <row r="570" spans="2:41" ht="15" thickBot="1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</row>
    <row r="571" spans="2:41" ht="15" thickBot="1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</row>
    <row r="572" spans="2:41" ht="15" thickBot="1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</row>
    <row r="573" spans="2:41" ht="15" thickBot="1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</row>
    <row r="574" spans="2:41" ht="15" thickBot="1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</row>
    <row r="575" spans="2:41" ht="15" thickBot="1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</row>
    <row r="576" spans="2:41" ht="15" thickBot="1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</row>
    <row r="577" spans="2:41" ht="15" thickBot="1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</row>
    <row r="578" spans="2:41" ht="15" thickBot="1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</row>
    <row r="579" spans="2:41" ht="15" thickBot="1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</row>
    <row r="580" spans="2:41" ht="15" thickBot="1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</row>
    <row r="581" spans="2:41" ht="15" thickBot="1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</row>
    <row r="582" spans="2:41" ht="15" thickBot="1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</row>
    <row r="583" spans="2:41" ht="15" thickBot="1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</row>
    <row r="584" spans="2:41" ht="15" thickBot="1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</row>
    <row r="585" spans="2:41" ht="15" thickBot="1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</row>
    <row r="586" spans="2:41" ht="15" thickBot="1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</row>
    <row r="587" spans="2:41" ht="15" thickBot="1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</row>
    <row r="588" spans="2:41" ht="15" thickBot="1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</row>
    <row r="589" spans="2:41" ht="15" thickBot="1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</row>
    <row r="590" spans="2:41" ht="15" thickBot="1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</row>
    <row r="591" spans="2:41" ht="15" thickBot="1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</row>
    <row r="592" spans="2:41" ht="15" thickBot="1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</row>
    <row r="593" spans="2:41" ht="15" thickBot="1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</row>
    <row r="594" spans="2:41" ht="15" thickBot="1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</row>
    <row r="595" spans="2:41" ht="15" thickBot="1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</row>
    <row r="596" spans="2:41" ht="15" thickBot="1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</row>
    <row r="597" spans="2:41" ht="15" thickBot="1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</row>
    <row r="598" spans="2:41" ht="15" thickBot="1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</row>
    <row r="599" spans="2:41" ht="15" thickBot="1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</row>
    <row r="600" spans="2:41" ht="15" thickBot="1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</row>
    <row r="601" spans="2:41" ht="15" thickBot="1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</row>
    <row r="602" spans="2:41" ht="15" thickBot="1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</row>
    <row r="603" spans="2:41" ht="15" thickBot="1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</row>
    <row r="604" spans="2:41" ht="15" thickBot="1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</row>
    <row r="605" spans="2:41" ht="15" thickBot="1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</row>
    <row r="606" spans="2:41" ht="15" thickBot="1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</row>
    <row r="607" spans="2:41" ht="15" thickBot="1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</row>
    <row r="608" spans="2:41" ht="15" thickBot="1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</row>
    <row r="609" spans="2:41" ht="15" thickBot="1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</row>
    <row r="610" spans="2:41" ht="15" thickBot="1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</row>
    <row r="611" spans="2:41" ht="15" thickBot="1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</row>
    <row r="612" spans="2:41" ht="15" thickBot="1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</row>
    <row r="613" spans="2:41" ht="15" thickBot="1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</row>
    <row r="614" spans="2:41" ht="15" thickBot="1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</row>
    <row r="615" spans="2:41" ht="15" thickBot="1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</row>
    <row r="616" spans="2:41" ht="15" thickBot="1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</row>
    <row r="617" spans="2:41" ht="15" thickBot="1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</row>
    <row r="618" spans="2:41" ht="15" thickBot="1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</row>
    <row r="619" spans="2:41" ht="15" thickBot="1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</row>
    <row r="620" spans="2:41" ht="15" thickBot="1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</row>
    <row r="621" spans="2:41" ht="15" thickBot="1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</row>
    <row r="622" spans="2:41" ht="15" thickBot="1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</row>
    <row r="623" spans="2:41" ht="15" thickBot="1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</row>
    <row r="624" spans="2:41" ht="15" thickBot="1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</row>
    <row r="625" spans="2:41" ht="15" thickBot="1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</row>
    <row r="626" spans="2:41" ht="15" thickBot="1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</row>
    <row r="627" spans="2:41" ht="15" thickBot="1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</row>
    <row r="628" spans="2:41" ht="15" thickBot="1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</row>
    <row r="629" spans="2:41" ht="15" thickBot="1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</row>
    <row r="630" spans="2:41" ht="15" thickBot="1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</row>
    <row r="631" spans="2:41" ht="15" thickBot="1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</row>
    <row r="632" spans="2:41" ht="15" thickBot="1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</row>
    <row r="633" spans="2:41" ht="15" thickBot="1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</row>
    <row r="634" spans="2:41" ht="15" thickBot="1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</row>
    <row r="635" spans="2:41" ht="15" thickBot="1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</row>
    <row r="636" spans="2:41" ht="15" thickBot="1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</row>
    <row r="637" spans="2:41" ht="15" thickBot="1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</row>
    <row r="638" spans="2:41" ht="15" thickBot="1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</row>
    <row r="639" spans="2:41" ht="15" thickBot="1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</row>
    <row r="640" spans="2:41" ht="15" thickBot="1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</row>
    <row r="641" spans="2:41" ht="15" thickBot="1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</row>
    <row r="642" spans="2:41" ht="15" thickBot="1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</row>
    <row r="643" spans="2:41" ht="15" thickBot="1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</row>
    <row r="644" spans="2:41" ht="15" thickBot="1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</row>
    <row r="645" spans="2:41" ht="15" thickBot="1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</row>
    <row r="646" spans="2:41" ht="15" thickBot="1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</row>
    <row r="647" spans="2:41" ht="15" thickBot="1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</row>
    <row r="648" spans="2:41" ht="15" thickBot="1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</row>
    <row r="649" spans="2:41" ht="15" thickBot="1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</row>
    <row r="650" spans="2:41" ht="15" thickBot="1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</row>
    <row r="651" spans="2:41" ht="15" thickBot="1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</row>
    <row r="652" spans="2:41" ht="15" thickBot="1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</row>
    <row r="653" spans="2:41" ht="15" thickBot="1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</row>
    <row r="654" spans="2:41" ht="15" thickBot="1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</row>
    <row r="655" spans="2:41" ht="15" thickBot="1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</row>
    <row r="656" spans="2:41" ht="15" thickBot="1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</row>
    <row r="657" spans="2:41" ht="15" thickBot="1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</row>
    <row r="658" spans="2:41" ht="15" thickBot="1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</row>
    <row r="659" spans="2:41" ht="15" thickBot="1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</row>
    <row r="660" spans="2:41" ht="15" thickBot="1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</row>
    <row r="661" spans="2:41" ht="15" thickBot="1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</row>
    <row r="662" spans="2:41" ht="15" thickBot="1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</row>
    <row r="663" spans="2:41" ht="15" thickBot="1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</row>
    <row r="664" spans="2:41" ht="15" thickBot="1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</row>
    <row r="665" spans="2:41" ht="15" thickBot="1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</row>
    <row r="666" spans="2:41" ht="15" thickBot="1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</row>
    <row r="667" spans="2:41" ht="15" thickBot="1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</row>
    <row r="668" spans="2:41" ht="15" thickBot="1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</row>
    <row r="669" spans="2:41" ht="15" thickBot="1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</row>
    <row r="670" spans="2:41" ht="15" thickBot="1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</row>
    <row r="671" spans="2:41" ht="15" thickBot="1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</row>
    <row r="672" spans="2:41" ht="15" thickBot="1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</row>
    <row r="673" spans="2:41" ht="15" thickBot="1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</row>
    <row r="674" spans="2:41" ht="15" thickBot="1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</row>
    <row r="675" spans="2:41" ht="15" thickBot="1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</row>
    <row r="676" spans="2:41" ht="15" thickBot="1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</row>
    <row r="677" spans="2:41" ht="15" thickBot="1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</row>
    <row r="678" spans="2:41" ht="15" thickBot="1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</row>
    <row r="679" spans="2:41" ht="15" thickBot="1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</row>
    <row r="680" spans="2:41" ht="15" thickBot="1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</row>
    <row r="681" spans="2:41" ht="15" thickBot="1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</row>
    <row r="682" spans="2:41" ht="15" thickBot="1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</row>
    <row r="683" spans="2:41" ht="15" thickBot="1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</row>
    <row r="684" spans="2:41" ht="15" thickBot="1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</row>
    <row r="685" spans="2:41" ht="15" thickBot="1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</row>
    <row r="686" spans="2:41" ht="15" thickBot="1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</row>
    <row r="687" spans="2:41" ht="15" thickBot="1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</row>
    <row r="688" spans="2:41" ht="15" thickBot="1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</row>
    <row r="689" spans="2:41" ht="15" thickBot="1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</row>
    <row r="690" spans="2:41" ht="15" thickBot="1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</row>
    <row r="691" spans="2:41" ht="15" thickBot="1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</row>
    <row r="692" spans="2:41" ht="15" thickBot="1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</row>
    <row r="693" spans="2:41" ht="15" thickBot="1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</row>
    <row r="694" spans="2:41" ht="15" thickBot="1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</row>
    <row r="695" spans="2:41" ht="15" thickBot="1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</row>
    <row r="696" spans="2:41" ht="15" thickBot="1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</row>
    <row r="697" spans="2:41" ht="15" thickBot="1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</row>
    <row r="698" spans="2:41" ht="15" thickBot="1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</row>
    <row r="699" spans="2:41" ht="15" thickBot="1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</row>
    <row r="700" spans="2:41" ht="15" thickBot="1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</row>
    <row r="701" spans="2:41" ht="15" thickBot="1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</row>
    <row r="702" spans="2:41" ht="15" thickBot="1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</row>
    <row r="703" spans="2:41" ht="15" thickBot="1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</row>
    <row r="704" spans="2:41" ht="15" thickBot="1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</row>
    <row r="705" spans="2:41" ht="15" thickBot="1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</row>
    <row r="706" spans="2:41" ht="15" thickBot="1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</row>
    <row r="707" spans="2:41" ht="15" thickBot="1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</row>
    <row r="708" spans="2:41" ht="15" thickBot="1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</row>
    <row r="709" spans="2:41" ht="15" thickBot="1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</row>
    <row r="710" spans="2:41" ht="15" thickBot="1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</row>
    <row r="711" spans="2:41" ht="15" thickBot="1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</row>
    <row r="712" spans="2:41" ht="15" thickBot="1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</row>
    <row r="713" spans="2:41" ht="15" thickBot="1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</row>
    <row r="714" spans="2:41" ht="15" thickBot="1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</row>
    <row r="715" spans="2:41" ht="15" thickBot="1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</row>
    <row r="716" spans="2:41" ht="15" thickBot="1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</row>
    <row r="717" spans="2:41" ht="15" thickBot="1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</row>
    <row r="718" spans="2:41" ht="15" thickBot="1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</row>
    <row r="719" spans="2:41" ht="15" thickBot="1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</row>
    <row r="720" spans="2:41" ht="15" thickBot="1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</row>
    <row r="721" spans="2:41" ht="15" thickBot="1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</row>
    <row r="722" spans="2:41" ht="15" thickBot="1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</row>
    <row r="723" spans="2:41" ht="15" thickBot="1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</row>
    <row r="724" spans="2:41" ht="15" thickBot="1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</row>
    <row r="725" spans="2:41" ht="15" thickBot="1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</row>
    <row r="726" spans="2:41" ht="15" thickBot="1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</row>
    <row r="727" spans="2:41" ht="15" thickBot="1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</row>
    <row r="728" spans="2:41" ht="15" thickBot="1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</row>
    <row r="729" spans="2:41" ht="15" thickBot="1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</row>
    <row r="730" spans="2:41" ht="15" thickBot="1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</row>
    <row r="731" spans="2:41" ht="15" thickBot="1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</row>
    <row r="732" spans="2:41" ht="15" thickBot="1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</row>
    <row r="733" spans="2:41" ht="15" thickBot="1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</row>
    <row r="734" spans="2:41" ht="15" thickBot="1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</row>
    <row r="735" spans="2:41" ht="15" thickBot="1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</row>
    <row r="736" spans="2:41" ht="15" thickBot="1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</row>
    <row r="737" spans="2:41" ht="15" thickBot="1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</row>
    <row r="738" spans="2:41" ht="15" thickBot="1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</row>
    <row r="739" spans="2:41" ht="15" thickBot="1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</row>
    <row r="740" spans="2:41" ht="15" thickBot="1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</row>
    <row r="741" spans="2:41" ht="15" thickBot="1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</row>
    <row r="742" spans="2:41" ht="15" thickBot="1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</row>
    <row r="743" spans="2:41" ht="15" thickBot="1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</row>
    <row r="744" spans="2:41" ht="15" thickBot="1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</row>
    <row r="745" spans="2:41" ht="15" thickBot="1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</row>
    <row r="746" spans="2:41" ht="15" thickBot="1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</row>
    <row r="747" spans="2:41" ht="15" thickBot="1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</row>
    <row r="748" spans="2:41" ht="15" thickBot="1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</row>
    <row r="749" spans="2:41" ht="15" thickBot="1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</row>
    <row r="750" spans="2:41" ht="15" thickBot="1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</row>
    <row r="751" spans="2:41" ht="15" thickBot="1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</row>
    <row r="752" spans="2:41" ht="15" thickBot="1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</row>
    <row r="753" spans="2:41" ht="15" thickBot="1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</row>
    <row r="754" spans="2:41" ht="15" thickBot="1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</row>
    <row r="755" spans="2:41" ht="15" thickBot="1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</row>
    <row r="756" spans="2:41" ht="15" thickBot="1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</row>
    <row r="757" spans="2:41" ht="15" thickBot="1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</row>
    <row r="758" spans="2:41" ht="15" thickBot="1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</row>
    <row r="759" spans="2:41" ht="15" thickBot="1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</row>
    <row r="760" spans="2:41" ht="15" thickBot="1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</row>
    <row r="761" spans="2:41" ht="15" thickBot="1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</row>
    <row r="762" spans="2:41" ht="15" thickBot="1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</row>
    <row r="763" spans="2:41" ht="15" thickBot="1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</row>
    <row r="764" spans="2:41" ht="15" thickBot="1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</row>
    <row r="765" spans="2:41" ht="15" thickBot="1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</row>
    <row r="766" spans="2:41" ht="15" thickBot="1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</row>
    <row r="767" spans="2:41" ht="15" thickBot="1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</row>
    <row r="768" spans="2:41" ht="15" thickBot="1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</row>
    <row r="769" spans="2:41" ht="15" thickBot="1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</row>
    <row r="770" spans="2:41" ht="15" thickBot="1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</row>
    <row r="771" spans="2:41" ht="15" thickBot="1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</row>
    <row r="772" spans="2:41" ht="15" thickBot="1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</row>
    <row r="773" spans="2:41" ht="15" thickBot="1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</row>
    <row r="774" spans="2:41" ht="15" thickBot="1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</row>
    <row r="775" spans="2:41" ht="15" thickBot="1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</row>
    <row r="776" spans="2:41" ht="15" thickBot="1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</row>
    <row r="777" spans="2:41" ht="15" thickBot="1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</row>
    <row r="778" spans="2:41" ht="15" thickBot="1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</row>
    <row r="779" spans="2:41" ht="15" thickBot="1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</row>
    <row r="780" spans="2:41" ht="15" thickBot="1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</row>
    <row r="781" spans="2:41" ht="15" thickBot="1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</row>
    <row r="782" spans="2:41" ht="15" thickBot="1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</row>
    <row r="783" spans="2:41" ht="15" thickBot="1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</row>
    <row r="784" spans="2:41" ht="15" thickBot="1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</row>
    <row r="785" spans="2:41" ht="15" thickBot="1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</row>
    <row r="786" spans="2:41" ht="15" thickBot="1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</row>
    <row r="787" spans="2:41" ht="15" thickBot="1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</row>
    <row r="788" spans="2:41" ht="15" thickBot="1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</row>
    <row r="789" spans="2:41" ht="15" thickBot="1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</row>
    <row r="790" spans="2:41" ht="15" thickBot="1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</row>
    <row r="791" spans="2:41" ht="15" thickBot="1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</row>
    <row r="792" spans="2:41" ht="15" thickBot="1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</row>
    <row r="793" spans="2:41" ht="15" thickBot="1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</row>
    <row r="794" spans="2:41" ht="15" thickBot="1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</row>
    <row r="795" spans="2:41" ht="15" thickBot="1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</row>
    <row r="796" spans="2:41" ht="15" thickBot="1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</row>
    <row r="797" spans="2:41" ht="15" thickBot="1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</row>
    <row r="798" spans="2:41" ht="15" thickBot="1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</row>
    <row r="799" spans="2:41" ht="15" thickBot="1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</row>
    <row r="800" spans="2:41" ht="15" thickBot="1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</row>
    <row r="801" spans="2:41" ht="15" thickBot="1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</row>
    <row r="802" spans="2:41" ht="15" thickBot="1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</row>
    <row r="803" spans="2:41" ht="15" thickBot="1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</row>
    <row r="804" spans="2:41" ht="15" thickBot="1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</row>
    <row r="805" spans="2:41" ht="15" thickBot="1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</row>
    <row r="806" spans="2:41" ht="15" thickBot="1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</row>
    <row r="807" spans="2:41" ht="15" thickBot="1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</row>
    <row r="808" spans="2:41" ht="15" thickBot="1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</row>
    <row r="809" spans="2:41" ht="15" thickBot="1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</row>
    <row r="810" spans="2:41" ht="15" thickBot="1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</row>
    <row r="811" spans="2:41" ht="15" thickBot="1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</row>
    <row r="812" spans="2:41" ht="15" thickBot="1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</row>
    <row r="813" spans="2:41" ht="15" thickBot="1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</row>
    <row r="814" spans="2:41" ht="15" thickBot="1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</row>
    <row r="815" spans="2:41" ht="15" thickBot="1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</row>
    <row r="816" spans="2:41" ht="15" thickBot="1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</row>
    <row r="817" spans="2:41" ht="15" thickBot="1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</row>
    <row r="818" spans="2:41" ht="15" thickBot="1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</row>
    <row r="819" spans="2:41" ht="15" thickBot="1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</row>
    <row r="820" spans="2:41" ht="15" thickBot="1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</row>
    <row r="821" spans="2:41" ht="15" thickBot="1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</row>
    <row r="822" spans="2:41" ht="15" thickBot="1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</row>
    <row r="823" spans="2:41" ht="15" thickBot="1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</row>
    <row r="824" spans="2:41" ht="15" thickBot="1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</row>
    <row r="825" spans="2:41" ht="15" thickBot="1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</row>
    <row r="826" spans="2:41" ht="15" thickBot="1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</row>
    <row r="827" spans="2:41" ht="15" thickBot="1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</row>
    <row r="828" spans="2:41" ht="15" thickBot="1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</row>
    <row r="829" spans="2:41" ht="15" thickBot="1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</row>
    <row r="830" spans="2:41" ht="15" thickBot="1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</row>
    <row r="831" spans="2:41" ht="15" thickBot="1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</row>
    <row r="832" spans="2:41" ht="15" thickBot="1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</row>
    <row r="833" spans="2:41" ht="15" thickBot="1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</row>
    <row r="834" spans="2:41" ht="15" thickBot="1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</row>
    <row r="835" spans="2:41" ht="15" thickBot="1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</row>
    <row r="836" spans="2:41" ht="15" thickBot="1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</row>
    <row r="837" spans="2:41" ht="15" thickBot="1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</row>
    <row r="838" spans="2:41" ht="15" thickBot="1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</row>
    <row r="839" spans="2:41" ht="15" thickBot="1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</row>
    <row r="840" spans="2:41" ht="15" thickBot="1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</row>
    <row r="841" spans="2:41" ht="15" thickBot="1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</row>
    <row r="842" spans="2:41" ht="15" thickBot="1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</row>
    <row r="843" spans="2:41" ht="15" thickBot="1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</row>
    <row r="844" spans="2:41" ht="15" thickBot="1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</row>
    <row r="845" spans="2:41" ht="15" thickBot="1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</row>
    <row r="846" spans="2:41" ht="15" thickBot="1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</row>
    <row r="847" spans="2:41" ht="15" thickBot="1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</row>
    <row r="848" spans="2:41" ht="15" thickBot="1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</row>
    <row r="849" spans="2:41" ht="15" thickBot="1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</row>
    <row r="850" spans="2:41" ht="15" thickBot="1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</row>
    <row r="851" spans="2:41" ht="15" thickBot="1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</row>
    <row r="852" spans="2:41" ht="15" thickBot="1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</row>
    <row r="853" spans="2:41" ht="15" thickBot="1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</row>
    <row r="854" spans="2:41" ht="15" thickBot="1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</row>
    <row r="855" spans="2:41" ht="15" thickBot="1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</row>
    <row r="856" spans="2:41" ht="15" thickBot="1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</row>
    <row r="857" spans="2:41" ht="15" thickBot="1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</row>
    <row r="858" spans="2:41" ht="15" thickBot="1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</row>
    <row r="859" spans="2:41" ht="15" thickBot="1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</row>
    <row r="860" spans="2:41" ht="15" thickBot="1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</row>
    <row r="861" spans="2:41" ht="15" thickBot="1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</row>
    <row r="862" spans="2:41" ht="15" thickBot="1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</row>
    <row r="863" spans="2:41" ht="15" thickBot="1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</row>
    <row r="864" spans="2:41" ht="15" thickBot="1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</row>
    <row r="865" spans="2:41" ht="15" thickBot="1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</row>
    <row r="866" spans="2:41" ht="15" thickBot="1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</row>
    <row r="867" spans="2:41" ht="15" thickBot="1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</row>
    <row r="868" spans="2:41" ht="15" thickBot="1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</row>
    <row r="869" spans="2:41" ht="15" thickBot="1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</row>
    <row r="870" spans="2:41" ht="15" thickBot="1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</row>
    <row r="871" spans="2:41" ht="15" thickBot="1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</row>
    <row r="872" spans="2:41" ht="15" thickBot="1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</row>
    <row r="873" spans="2:41" ht="15" thickBot="1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</row>
    <row r="874" spans="2:41" ht="15" thickBot="1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</row>
    <row r="875" spans="2:41" ht="15" thickBot="1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</row>
    <row r="876" spans="2:41" ht="15" thickBot="1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</row>
    <row r="877" spans="2:41" ht="15" thickBot="1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</row>
    <row r="878" spans="2:41" ht="15" thickBot="1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</row>
    <row r="879" spans="2:41" ht="15" thickBot="1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</row>
    <row r="880" spans="2:41" ht="15" thickBot="1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</row>
    <row r="881" spans="2:41" ht="15" thickBot="1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</row>
    <row r="882" spans="2:41" ht="15" thickBot="1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</row>
    <row r="883" spans="2:41" ht="15" thickBot="1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</row>
    <row r="884" spans="2:41" ht="15" thickBot="1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</row>
    <row r="885" spans="2:41" ht="15" thickBot="1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</row>
    <row r="886" spans="2:41" ht="15" thickBot="1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</row>
    <row r="887" spans="2:41" ht="15" thickBot="1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</row>
    <row r="888" spans="2:41" ht="15" thickBot="1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</row>
    <row r="889" spans="2:41" ht="15" thickBot="1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</row>
    <row r="890" spans="2:41" ht="15" thickBot="1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</row>
    <row r="891" spans="2:41" ht="15" thickBot="1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</row>
    <row r="892" spans="2:41" ht="15" thickBot="1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</row>
    <row r="893" spans="2:41" ht="15" thickBot="1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</row>
    <row r="894" spans="2:41" ht="15" thickBot="1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</row>
    <row r="895" spans="2:41" ht="15" thickBot="1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</row>
    <row r="896" spans="2:41" ht="15" thickBot="1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</row>
    <row r="897" spans="2:41" ht="15" thickBot="1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</row>
    <row r="898" spans="2:41" ht="15" thickBot="1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</row>
    <row r="899" spans="2:41" ht="15" thickBot="1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</row>
    <row r="900" spans="2:41" ht="15" thickBot="1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</row>
    <row r="901" spans="2:41" ht="15" thickBot="1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</row>
    <row r="902" spans="2:41" ht="15" thickBot="1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</row>
    <row r="903" spans="2:41" ht="15" thickBot="1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</row>
    <row r="904" spans="2:41" ht="15" thickBot="1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</row>
    <row r="905" spans="2:41" ht="15" thickBot="1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</row>
    <row r="906" spans="2:41" ht="15" thickBot="1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</row>
    <row r="907" spans="2:41" ht="15" thickBot="1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</row>
    <row r="908" spans="2:41" ht="15" thickBot="1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</row>
    <row r="909" spans="2:41" ht="15" thickBot="1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</row>
    <row r="910" spans="2:41" ht="15" thickBot="1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</row>
    <row r="911" spans="2:41" ht="15" thickBot="1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</row>
    <row r="912" spans="2:41" ht="15" thickBot="1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</row>
    <row r="913" spans="2:41" ht="15" thickBot="1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</row>
    <row r="914" spans="2:41" ht="15" thickBot="1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</row>
    <row r="915" spans="2:41" ht="15" thickBot="1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</row>
    <row r="916" spans="2:41" ht="15" thickBot="1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</row>
    <row r="917" spans="2:41" ht="15" thickBot="1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</row>
    <row r="918" spans="2:41" ht="15" thickBot="1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</row>
    <row r="919" spans="2:41" ht="15" thickBot="1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</row>
    <row r="920" spans="2:41" ht="15" thickBot="1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</row>
    <row r="921" spans="2:41" ht="15" thickBot="1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</row>
    <row r="922" spans="2:41" ht="15" thickBot="1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</row>
    <row r="923" spans="2:41" ht="15" thickBot="1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</row>
    <row r="924" spans="2:41" ht="15" thickBot="1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</row>
    <row r="925" spans="2:41" ht="15" thickBot="1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</row>
    <row r="926" spans="2:41" ht="15" thickBot="1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</row>
    <row r="927" spans="2:41" ht="15" thickBot="1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</row>
    <row r="928" spans="2:41" ht="15" thickBot="1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</row>
    <row r="929" spans="2:41" ht="15" thickBot="1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</row>
    <row r="930" spans="2:41" ht="15" thickBot="1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</row>
    <row r="931" spans="2:41" ht="15" thickBot="1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</row>
    <row r="932" spans="2:41" ht="15" thickBot="1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</row>
    <row r="933" spans="2:41" ht="15" thickBot="1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</row>
    <row r="934" spans="2:41" ht="15" thickBot="1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</row>
    <row r="935" spans="2:41" ht="15" thickBot="1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</row>
    <row r="936" spans="2:41" ht="15" thickBot="1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</row>
    <row r="937" spans="2:41" ht="15" thickBot="1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</row>
    <row r="938" spans="2:41" ht="15" thickBot="1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</row>
    <row r="939" spans="2:41" ht="15" thickBot="1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</row>
    <row r="940" spans="2:41" ht="15" thickBot="1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</row>
    <row r="941" spans="2:41" ht="15" thickBot="1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</row>
    <row r="942" spans="2:41" ht="15" thickBot="1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</row>
    <row r="943" spans="2:41" ht="15" thickBot="1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</row>
    <row r="944" spans="2:41" ht="15" thickBot="1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</row>
    <row r="945" spans="2:41" ht="15" thickBot="1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</row>
    <row r="946" spans="2:41" ht="15" thickBot="1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</row>
    <row r="947" spans="2:41" ht="15" thickBot="1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</row>
    <row r="948" spans="2:41" ht="15" thickBot="1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</row>
    <row r="949" spans="2:41" ht="15" thickBot="1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</row>
    <row r="950" spans="2:41" ht="15" thickBot="1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</row>
    <row r="951" spans="2:41" ht="15" thickBot="1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</row>
    <row r="952" spans="2:41" ht="15" thickBot="1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</row>
    <row r="953" spans="2:41" ht="15" thickBot="1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</row>
    <row r="954" spans="2:41" ht="15" thickBot="1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</row>
    <row r="955" spans="2:41" ht="15" thickBot="1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</row>
    <row r="956" spans="2:41" ht="15" thickBot="1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</row>
    <row r="957" spans="2:41" ht="15" thickBot="1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</row>
    <row r="958" spans="2:41" ht="15" thickBot="1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</row>
    <row r="959" spans="2:41" ht="15" thickBot="1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</row>
    <row r="960" spans="2:41" ht="15" thickBot="1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</row>
    <row r="961" spans="2:41" ht="15" thickBot="1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</row>
    <row r="962" spans="2:41" ht="15" thickBot="1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</row>
    <row r="963" spans="2:41" ht="15" thickBot="1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</row>
    <row r="964" spans="2:41" ht="15" thickBot="1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</row>
    <row r="965" spans="2:41" ht="15" thickBot="1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</row>
    <row r="966" spans="2:41" ht="15" thickBot="1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</row>
    <row r="967" spans="2:41" ht="15" thickBot="1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</row>
    <row r="968" spans="2:41" ht="15" thickBot="1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</row>
  </sheetData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D5C47-D5B3-4027-95CA-438108D2F651}">
  <dimension ref="A1:BY969"/>
  <sheetViews>
    <sheetView zoomScale="55" zoomScaleNormal="55" workbookViewId="0">
      <pane xSplit="5" ySplit="6" topLeftCell="F7" activePane="bottomRight" state="frozen"/>
      <selection pane="topRight" activeCell="B1" sqref="B1"/>
      <selection pane="bottomLeft" activeCell="A5" sqref="A5"/>
      <selection pane="bottomRight" activeCell="BF18" sqref="BF18"/>
    </sheetView>
  </sheetViews>
  <sheetFormatPr baseColWidth="10" defaultRowHeight="14.25"/>
  <cols>
    <col min="1" max="1" width="12.375" bestFit="1" customWidth="1"/>
    <col min="2" max="2" width="11" style="24"/>
    <col min="4" max="4" width="12.375" bestFit="1" customWidth="1"/>
    <col min="5" max="5" width="13.25" customWidth="1"/>
  </cols>
  <sheetData>
    <row r="1" spans="1:77" ht="15" thickBot="1">
      <c r="E1" s="12" t="str">
        <f>+Precios!A1</f>
        <v>BUY</v>
      </c>
      <c r="F1" s="13">
        <f>+Precios!B1</f>
        <v>45985</v>
      </c>
      <c r="G1" s="13">
        <f>+Precios!C1</f>
        <v>45993</v>
      </c>
      <c r="H1" s="13">
        <f>+Precios!D1</f>
        <v>46001</v>
      </c>
      <c r="I1" s="13">
        <f>+Precios!E1</f>
        <v>46003</v>
      </c>
      <c r="J1" s="13">
        <f>+Precios!F1</f>
        <v>46002</v>
      </c>
      <c r="K1" s="13">
        <f>+Precios!G1</f>
        <v>46000</v>
      </c>
      <c r="L1" s="13">
        <f>+Precios!H1</f>
        <v>45981</v>
      </c>
      <c r="M1" s="13">
        <f>+Precios!I1</f>
        <v>45979</v>
      </c>
      <c r="N1" s="13">
        <f>+Precios!J1</f>
        <v>45982</v>
      </c>
      <c r="O1" s="13">
        <f>+Precios!K1</f>
        <v>45981</v>
      </c>
      <c r="P1" s="13">
        <f>+Precios!L1</f>
        <v>45980</v>
      </c>
      <c r="Q1" s="13">
        <f>+Precios!M1</f>
        <v>45985</v>
      </c>
      <c r="R1" s="13">
        <f>+Precios!N1</f>
        <v>45979</v>
      </c>
      <c r="S1" s="13">
        <f>+Precios!O1</f>
        <v>46006</v>
      </c>
      <c r="T1" s="13">
        <f>+Precios!P1</f>
        <v>46009</v>
      </c>
      <c r="U1" s="13">
        <f>+Precios!Q1</f>
        <v>45981</v>
      </c>
      <c r="V1" s="13">
        <f>+Precios!R1</f>
        <v>45980</v>
      </c>
      <c r="W1" s="13">
        <f>+Precios!S1</f>
        <v>46008</v>
      </c>
      <c r="X1" s="13">
        <f>+Precios!T1</f>
        <v>46036</v>
      </c>
      <c r="Y1" s="13">
        <f>+Precios!U1</f>
        <v>46002</v>
      </c>
      <c r="Z1" s="13">
        <f>+Precios!V1</f>
        <v>46034</v>
      </c>
      <c r="AA1" s="13">
        <f>+Precios!W1</f>
        <v>46036</v>
      </c>
      <c r="AB1" s="13">
        <f>+Precios!X1</f>
        <v>46045</v>
      </c>
      <c r="AC1" s="13">
        <f>+Precios!Y1</f>
        <v>46042</v>
      </c>
      <c r="AD1" s="13">
        <f>+Precios!Z1</f>
        <v>46031</v>
      </c>
      <c r="AE1" s="13">
        <f>+Precios!AA1</f>
        <v>45979</v>
      </c>
      <c r="AF1" s="13">
        <f>+Precios!AB1</f>
        <v>45981</v>
      </c>
      <c r="AG1" s="13">
        <f>+Precios!AC1</f>
        <v>45981</v>
      </c>
      <c r="AH1" s="13">
        <f>+Precios!AD1</f>
        <v>46001</v>
      </c>
      <c r="AI1" s="13">
        <f>+Precios!AE1</f>
        <v>46002</v>
      </c>
      <c r="AJ1" s="13">
        <f>+Precios!AF1</f>
        <v>46002</v>
      </c>
      <c r="AK1" s="13">
        <f>+Precios!AG1</f>
        <v>46030</v>
      </c>
      <c r="AL1" s="13">
        <f>+Precios!AH1</f>
        <v>46036</v>
      </c>
      <c r="AM1" s="13">
        <f>+Precios!AI1</f>
        <v>46031</v>
      </c>
      <c r="AN1" s="13">
        <f>+Precios!AJ1</f>
        <v>46042</v>
      </c>
      <c r="AO1" s="13">
        <f>+Precios!AK1</f>
        <v>46043</v>
      </c>
      <c r="AP1" s="13">
        <f>+Precios!AL1</f>
        <v>46043</v>
      </c>
      <c r="AQ1" s="13">
        <f>+Precios!AM1</f>
        <v>46050</v>
      </c>
      <c r="AR1" s="13">
        <f>+Precios!AN1</f>
        <v>46056</v>
      </c>
      <c r="AS1" s="13">
        <f>+Precios!AO1</f>
        <v>46058</v>
      </c>
      <c r="AT1" s="13">
        <f>+Precios!AP1</f>
        <v>46059</v>
      </c>
      <c r="AU1" s="13">
        <f>+Precios!AQ1</f>
        <v>46059</v>
      </c>
      <c r="AV1" s="13">
        <f>+Precios!AR1</f>
        <v>46063</v>
      </c>
      <c r="AW1" s="13">
        <f>+Precios!AS1</f>
        <v>46064</v>
      </c>
      <c r="AX1" s="13">
        <f>+Precios!AT1</f>
        <v>46065</v>
      </c>
      <c r="AY1" s="13">
        <v>46070</v>
      </c>
      <c r="AZ1" s="13">
        <f>+Precios!AV1</f>
        <v>46071</v>
      </c>
      <c r="BA1" s="13">
        <f>+Precios!AW1</f>
        <v>46071</v>
      </c>
      <c r="BB1" s="13">
        <f>+Precios!AX1</f>
        <v>46071</v>
      </c>
      <c r="BC1" s="13">
        <f>+Precios!AY1</f>
        <v>46072</v>
      </c>
      <c r="BD1" s="13">
        <f>+Precios!AZ1</f>
        <v>46072</v>
      </c>
      <c r="BE1" s="13">
        <f>+Precios!BA1</f>
        <v>46073</v>
      </c>
      <c r="BF1" s="13">
        <f>+Precios!BB1</f>
        <v>46079</v>
      </c>
      <c r="BG1" s="13">
        <f>+Precios!BC1</f>
        <v>46084</v>
      </c>
      <c r="BH1" s="13">
        <f>+Precios!BD1</f>
        <v>46086</v>
      </c>
      <c r="BI1" s="13">
        <f>+Precios!BE1</f>
        <v>46090</v>
      </c>
      <c r="BJ1" s="13">
        <f>+Precios!BF1</f>
        <v>46090</v>
      </c>
      <c r="BK1" s="13">
        <f>+Precios!BG1</f>
        <v>46093</v>
      </c>
      <c r="BL1" s="13">
        <f>+Precios!BH1</f>
        <v>46097</v>
      </c>
      <c r="BM1" s="13">
        <f>+Precios!BI1</f>
        <v>46100</v>
      </c>
      <c r="BN1" s="13">
        <f>+Precios!BJ1</f>
        <v>46112</v>
      </c>
      <c r="BO1" s="13">
        <f>+Precios!BK1</f>
        <v>46112</v>
      </c>
      <c r="BP1" s="13">
        <f>+Precios!BL1</f>
        <v>46112</v>
      </c>
      <c r="BQ1" s="13">
        <f>+Precios!BM1</f>
        <v>46113</v>
      </c>
      <c r="BR1" s="13">
        <f>+Precios!BN1</f>
        <v>46113</v>
      </c>
      <c r="BS1" s="13">
        <f>+Precios!BO1</f>
        <v>46118</v>
      </c>
      <c r="BT1" s="13">
        <f>+Precios!BP1</f>
        <v>46118</v>
      </c>
      <c r="BU1" s="13">
        <f>+Precios!BQ1</f>
        <v>46118</v>
      </c>
      <c r="BV1" s="13">
        <f>+Precios!BR1</f>
        <v>46121</v>
      </c>
      <c r="BW1" s="13">
        <f>+Precios!BS1</f>
        <v>46122</v>
      </c>
      <c r="BX1" s="13">
        <f>+Precios!BT1</f>
        <v>46125</v>
      </c>
      <c r="BY1" s="13">
        <f>+Precios!BU1</f>
        <v>46127</v>
      </c>
    </row>
    <row r="2" spans="1:77" ht="15" thickBot="1">
      <c r="E2" s="12" t="str">
        <f>+Precios!A2</f>
        <v>SELL</v>
      </c>
      <c r="F2" s="18">
        <f>+Precios!B2</f>
        <v>45995</v>
      </c>
      <c r="G2" s="18">
        <f>+Precios!C2</f>
        <v>45995</v>
      </c>
      <c r="H2" s="18">
        <f>+Precios!D2</f>
        <v>46003</v>
      </c>
      <c r="I2" s="18">
        <f>+Precios!E2</f>
        <v>46003</v>
      </c>
      <c r="J2" s="18">
        <f>+Precios!F2</f>
        <v>46003</v>
      </c>
      <c r="K2" s="18">
        <f>+Precios!G2</f>
        <v>46003</v>
      </c>
      <c r="L2" s="18">
        <f>+Precios!H2</f>
        <v>46006</v>
      </c>
      <c r="M2" s="18">
        <f>+Precios!I2</f>
        <v>46006</v>
      </c>
      <c r="N2" s="18">
        <f>+Precios!J2</f>
        <v>46007</v>
      </c>
      <c r="O2" s="18">
        <f>+Precios!K2</f>
        <v>46007</v>
      </c>
      <c r="P2" s="18">
        <f>+Precios!L2</f>
        <v>46007</v>
      </c>
      <c r="Q2" s="18">
        <f>+Precios!M2</f>
        <v>46008</v>
      </c>
      <c r="R2" s="18">
        <f>+Precios!N2</f>
        <v>46008</v>
      </c>
      <c r="S2" s="18">
        <f>+Precios!O2</f>
        <v>46024</v>
      </c>
      <c r="T2" s="18">
        <f>+Precios!P2</f>
        <v>46029</v>
      </c>
      <c r="U2" s="18">
        <f>+Precios!Q2</f>
        <v>46031</v>
      </c>
      <c r="V2" s="18">
        <f>+Precios!R2</f>
        <v>46031</v>
      </c>
      <c r="W2" s="18">
        <f>+Precios!S2</f>
        <v>46035</v>
      </c>
      <c r="X2" s="18">
        <f>+Precios!T2</f>
        <v>46042</v>
      </c>
      <c r="Y2" s="18">
        <f>+Precios!U2</f>
        <v>46043</v>
      </c>
      <c r="Z2" s="18">
        <f>+Precios!V2</f>
        <v>46049</v>
      </c>
      <c r="AA2" s="18">
        <f>+Precios!W2</f>
        <v>46050</v>
      </c>
      <c r="AB2" s="18">
        <f>+Precios!X2</f>
        <v>46050</v>
      </c>
      <c r="AC2" s="18">
        <f>+Precios!Y2</f>
        <v>46052</v>
      </c>
      <c r="AD2" s="18">
        <f>+Precios!Z2</f>
        <v>46052</v>
      </c>
      <c r="AE2" s="18">
        <f>+Precios!AA2</f>
        <v>46057</v>
      </c>
      <c r="AF2" s="18">
        <f>+Precios!AB2</f>
        <v>46057</v>
      </c>
      <c r="AG2" s="18">
        <f>+Precios!AC2</f>
        <v>46057</v>
      </c>
      <c r="AH2" s="18">
        <f>+Precios!AD2</f>
        <v>46057</v>
      </c>
      <c r="AI2" s="18">
        <f>+Precios!AE2</f>
        <v>46057</v>
      </c>
      <c r="AJ2" s="18">
        <f>+Precios!AF2</f>
        <v>46057</v>
      </c>
      <c r="AK2" s="18">
        <f>+Precios!AG2</f>
        <v>46057</v>
      </c>
      <c r="AL2" s="18">
        <f>+Precios!AH2</f>
        <v>46057</v>
      </c>
      <c r="AM2" s="18">
        <f>+Precios!AI2</f>
        <v>46057</v>
      </c>
      <c r="AN2" s="18">
        <f>+Precios!AJ2</f>
        <v>46057</v>
      </c>
      <c r="AO2" s="18">
        <f>+Precios!AK2</f>
        <v>46057</v>
      </c>
      <c r="AP2" s="18">
        <f>+Precios!AL2</f>
        <v>46058</v>
      </c>
      <c r="AQ2" s="18">
        <f>+Precios!AM2</f>
        <v>46057</v>
      </c>
      <c r="AR2" s="18">
        <f>+Precios!AN2</f>
        <v>46080</v>
      </c>
      <c r="AS2" s="18">
        <f>+Precios!AO2</f>
        <v>46058</v>
      </c>
      <c r="AT2" s="18">
        <f>+Precios!AP2</f>
        <v>46070</v>
      </c>
      <c r="AU2" s="18">
        <f>+Precios!AQ2</f>
        <v>46064</v>
      </c>
      <c r="AV2" s="18">
        <f>+Precios!AR2</f>
        <v>46064</v>
      </c>
      <c r="AW2" s="18">
        <f>+Precios!AS2</f>
        <v>46070</v>
      </c>
      <c r="AX2" s="18">
        <f>+Precios!AT2</f>
        <v>46084</v>
      </c>
      <c r="AY2" s="72"/>
      <c r="AZ2" s="18">
        <f>+Precios!AV2</f>
        <v>46084</v>
      </c>
      <c r="BA2" s="18">
        <f>+Precios!AW2</f>
        <v>46078</v>
      </c>
      <c r="BB2" s="18">
        <f>+Precios!AX2</f>
        <v>46084</v>
      </c>
      <c r="BC2" s="18">
        <f>+Precios!AY2</f>
        <v>46084</v>
      </c>
      <c r="BD2" s="18">
        <f>+Precios!AZ2</f>
        <v>46084</v>
      </c>
      <c r="BE2" s="18">
        <f>+Precios!BA2</f>
        <v>46084</v>
      </c>
      <c r="BF2" s="18">
        <f>+Precios!BB2</f>
        <v>46121</v>
      </c>
      <c r="BG2" s="18">
        <f>+Precios!BC2</f>
        <v>46100</v>
      </c>
      <c r="BH2" s="72">
        <f>+Precios!BD2</f>
        <v>0</v>
      </c>
      <c r="BI2" s="18">
        <f>+Precios!BE2</f>
        <v>46114</v>
      </c>
      <c r="BJ2" s="72">
        <f>+Precios!BF2</f>
        <v>0</v>
      </c>
      <c r="BK2" s="18">
        <f>+Precios!BG2</f>
        <v>46100</v>
      </c>
      <c r="BL2" s="18">
        <f>+Precios!BH2</f>
        <v>46100</v>
      </c>
      <c r="BM2" s="18">
        <f>+Precios!BI2</f>
        <v>46105</v>
      </c>
      <c r="BN2" s="72">
        <f>+Precios!BJ2</f>
        <v>0</v>
      </c>
      <c r="BO2" s="72">
        <f>+Precios!BK2</f>
        <v>0</v>
      </c>
      <c r="BP2" s="18">
        <f>+Precios!BL2</f>
        <v>46114</v>
      </c>
      <c r="BQ2" s="72">
        <f>+Precios!BM2</f>
        <v>0</v>
      </c>
      <c r="BR2" s="72">
        <f>+Precios!BN2</f>
        <v>0</v>
      </c>
      <c r="BS2" s="18">
        <f>+Precios!BO2</f>
        <v>46119</v>
      </c>
      <c r="BT2" s="72">
        <f>+Precios!BP2</f>
        <v>0</v>
      </c>
      <c r="BU2" s="72">
        <f>+Precios!BQ2</f>
        <v>0</v>
      </c>
      <c r="BV2" s="72">
        <f>+Precios!BR2</f>
        <v>0</v>
      </c>
      <c r="BW2" s="72">
        <f>+Precios!BS2</f>
        <v>0</v>
      </c>
      <c r="BX2" s="72">
        <f>+Precios!BT2</f>
        <v>0</v>
      </c>
      <c r="BY2" s="72">
        <f>+Precios!BU2</f>
        <v>0</v>
      </c>
    </row>
    <row r="3" spans="1:77" s="20" customFormat="1" ht="15" thickBot="1">
      <c r="B3" s="25"/>
      <c r="C3" s="68" t="s">
        <v>26</v>
      </c>
      <c r="E3" s="12" t="str">
        <f>+Precios!A3</f>
        <v>Shares</v>
      </c>
      <c r="F3" s="20">
        <f>+Precios!B3</f>
        <v>0</v>
      </c>
      <c r="G3" s="20">
        <f>+Precios!C3</f>
        <v>0</v>
      </c>
      <c r="H3" s="20">
        <f>+Precios!D3</f>
        <v>0</v>
      </c>
      <c r="I3" s="20">
        <f>+Precios!E3</f>
        <v>0</v>
      </c>
      <c r="J3" s="20">
        <f>+Precios!F3</f>
        <v>0</v>
      </c>
      <c r="K3" s="20">
        <f>+Precios!G3</f>
        <v>0</v>
      </c>
      <c r="L3" s="20">
        <f>+Precios!H3</f>
        <v>0</v>
      </c>
      <c r="M3" s="20">
        <f>+Precios!I3</f>
        <v>0</v>
      </c>
      <c r="N3" s="20">
        <f>+Precios!J3</f>
        <v>0</v>
      </c>
      <c r="O3" s="20">
        <f>+Precios!K3</f>
        <v>0</v>
      </c>
      <c r="P3" s="20">
        <f>+Precios!L3</f>
        <v>0</v>
      </c>
      <c r="Q3" s="20">
        <f>+Precios!M3</f>
        <v>0</v>
      </c>
      <c r="R3" s="20">
        <f>+Precios!N3</f>
        <v>0</v>
      </c>
      <c r="S3" s="20">
        <f>+Precios!O3</f>
        <v>0</v>
      </c>
      <c r="T3" s="20">
        <f>+Precios!P3</f>
        <v>0</v>
      </c>
      <c r="U3" s="20">
        <f>+Precios!Q3</f>
        <v>0</v>
      </c>
      <c r="V3" s="20">
        <f>+Precios!R3</f>
        <v>0</v>
      </c>
      <c r="W3" s="20">
        <f>+Precios!S3</f>
        <v>0</v>
      </c>
      <c r="X3" s="20">
        <f>+Precios!T3</f>
        <v>0</v>
      </c>
      <c r="Y3" s="20">
        <f>+Precios!U3</f>
        <v>0</v>
      </c>
      <c r="Z3" s="20">
        <f>+Precios!V3</f>
        <v>0</v>
      </c>
      <c r="AA3" s="20">
        <f>+Precios!W3</f>
        <v>0</v>
      </c>
      <c r="AB3" s="20">
        <f>+Precios!X3</f>
        <v>0</v>
      </c>
      <c r="AC3" s="20">
        <f>+Precios!Y3</f>
        <v>0</v>
      </c>
      <c r="AD3" s="20">
        <f>+Precios!Z3</f>
        <v>0</v>
      </c>
      <c r="AE3" s="20">
        <f>+Precios!AA3</f>
        <v>0</v>
      </c>
      <c r="AF3" s="20">
        <f>+Precios!AB3</f>
        <v>0</v>
      </c>
      <c r="AG3" s="20">
        <f>+Precios!AC3</f>
        <v>0</v>
      </c>
      <c r="AH3" s="20">
        <f>+Precios!AD3</f>
        <v>0</v>
      </c>
      <c r="AI3" s="20">
        <f>+Precios!AE3</f>
        <v>0</v>
      </c>
      <c r="AJ3" s="20">
        <f>+Precios!AF3</f>
        <v>0</v>
      </c>
      <c r="AK3" s="20">
        <f>+Precios!AG3</f>
        <v>0</v>
      </c>
      <c r="AL3" s="20">
        <f>+Precios!AH3</f>
        <v>0</v>
      </c>
      <c r="AM3" s="20">
        <f>+Precios!AI3</f>
        <v>0</v>
      </c>
      <c r="AN3" s="20">
        <f>+Precios!AJ3</f>
        <v>0</v>
      </c>
      <c r="AO3" s="20">
        <f>+Precios!AK3</f>
        <v>0</v>
      </c>
      <c r="AP3" s="20">
        <f>+Precios!AL3</f>
        <v>0</v>
      </c>
      <c r="AQ3" s="20">
        <f>+Precios!AM3</f>
        <v>0</v>
      </c>
      <c r="AR3" s="20">
        <f>+Precios!AN3</f>
        <v>0</v>
      </c>
      <c r="AS3" s="20">
        <f>+Precios!AO3</f>
        <v>0</v>
      </c>
      <c r="AT3" s="20">
        <f>+Precios!AP3</f>
        <v>0</v>
      </c>
      <c r="AU3" s="20">
        <f>+Precios!AQ3</f>
        <v>0</v>
      </c>
      <c r="AV3" s="20">
        <f>+Precios!AR3</f>
        <v>0</v>
      </c>
      <c r="AW3" s="20">
        <f>+Precios!AS3</f>
        <v>0</v>
      </c>
      <c r="AX3" s="20">
        <f>+Precios!AT3</f>
        <v>0</v>
      </c>
      <c r="AY3" s="20">
        <v>4039</v>
      </c>
      <c r="AZ3" s="20">
        <f>+Precios!AV3</f>
        <v>0</v>
      </c>
      <c r="BA3" s="20">
        <f>+Precios!AW3</f>
        <v>0</v>
      </c>
      <c r="BB3" s="20">
        <f>+Precios!AX3</f>
        <v>0</v>
      </c>
      <c r="BC3" s="20">
        <f>+Precios!AY3</f>
        <v>0</v>
      </c>
      <c r="BD3" s="20">
        <f>+Precios!AZ3</f>
        <v>0</v>
      </c>
      <c r="BE3" s="20">
        <f>+Precios!BA3</f>
        <v>0</v>
      </c>
      <c r="BF3" s="20">
        <f>+Precios!BB3</f>
        <v>0</v>
      </c>
      <c r="BG3" s="20">
        <f>+Precios!BC3</f>
        <v>0</v>
      </c>
      <c r="BH3" s="20">
        <f>+Precios!BD3</f>
        <v>14286</v>
      </c>
      <c r="BI3" s="20">
        <f>+Precios!BE3</f>
        <v>0</v>
      </c>
      <c r="BJ3" s="20">
        <f>+Precios!BF3</f>
        <v>1633</v>
      </c>
      <c r="BK3" s="20">
        <f>+Precios!BG3</f>
        <v>0</v>
      </c>
      <c r="BL3" s="20">
        <f>+Precios!BH3</f>
        <v>0</v>
      </c>
      <c r="BM3" s="20">
        <f>+Precios!BI3</f>
        <v>0</v>
      </c>
      <c r="BN3" s="20">
        <f>+Precios!BJ3</f>
        <v>527</v>
      </c>
      <c r="BO3" s="20">
        <f>+Precios!BK3</f>
        <v>321</v>
      </c>
      <c r="BP3" s="20">
        <f>+Precios!BL3</f>
        <v>0</v>
      </c>
      <c r="BQ3" s="20">
        <f>+Precios!BM3</f>
        <v>3693</v>
      </c>
      <c r="BR3" s="20">
        <f>+Precios!BN3</f>
        <v>2588</v>
      </c>
      <c r="BS3" s="20">
        <f>+Precios!BO3</f>
        <v>0</v>
      </c>
      <c r="BT3" s="20">
        <f>+Precios!BP3</f>
        <v>3243</v>
      </c>
      <c r="BU3" s="20">
        <f>+Precios!BQ3</f>
        <v>5405</v>
      </c>
      <c r="BV3" s="20">
        <f>+Precios!BR3</f>
        <v>7942</v>
      </c>
      <c r="BW3" s="20">
        <f>+Precios!BS3</f>
        <v>328</v>
      </c>
      <c r="BX3" s="20">
        <f>+Precios!BT3</f>
        <v>586</v>
      </c>
      <c r="BY3" s="20">
        <f>+Precios!BU3</f>
        <v>1027</v>
      </c>
    </row>
    <row r="4" spans="1:77" s="39" customFormat="1" ht="15" thickBot="1">
      <c r="B4" s="41"/>
      <c r="C4" s="69"/>
      <c r="E4" s="12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>
        <f>+Cost!AV4</f>
        <v>2019</v>
      </c>
      <c r="AZ4" s="20"/>
      <c r="BA4" s="20"/>
      <c r="BB4" s="20"/>
      <c r="BC4" s="20"/>
      <c r="BD4" s="20"/>
      <c r="BE4" s="20"/>
      <c r="BF4" s="20"/>
      <c r="BG4" s="20"/>
      <c r="BH4" s="20">
        <f>+Cost!BE4</f>
        <v>12143</v>
      </c>
      <c r="BI4" s="20"/>
      <c r="BJ4" s="20"/>
      <c r="BK4" s="20"/>
      <c r="BL4" s="20"/>
      <c r="BM4" s="20"/>
      <c r="BN4" s="20">
        <f>+Cost!BK4</f>
        <v>352</v>
      </c>
      <c r="BO4" s="20">
        <f>+Cost!BL4</f>
        <v>273</v>
      </c>
      <c r="BP4" s="20"/>
      <c r="BQ4" s="20"/>
      <c r="BR4" s="20">
        <f>+Cost!BO4</f>
        <v>2200</v>
      </c>
      <c r="BS4" s="20"/>
      <c r="BT4" s="20">
        <f>+Cost!BQ4</f>
        <v>2757</v>
      </c>
      <c r="BU4" s="20">
        <f>+Cost!BR4</f>
        <v>3603</v>
      </c>
      <c r="BV4" s="20">
        <f>+Cost!BS4</f>
        <v>6734</v>
      </c>
      <c r="BW4" s="20"/>
      <c r="BX4" s="20"/>
      <c r="BY4" s="20"/>
    </row>
    <row r="5" spans="1:77" s="39" customFormat="1" ht="15" thickBot="1">
      <c r="B5" s="41"/>
      <c r="C5" s="69"/>
      <c r="E5" s="12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>
        <f>+Cost!BK5</f>
        <v>289</v>
      </c>
      <c r="BO5" s="20">
        <f>+Cost!BL5</f>
        <v>241</v>
      </c>
      <c r="BP5" s="20"/>
      <c r="BQ5" s="20"/>
      <c r="BR5" s="20"/>
      <c r="BS5" s="20"/>
      <c r="BT5" s="20"/>
      <c r="BU5" s="20"/>
      <c r="BV5" s="20">
        <f>+Cost!BS5</f>
        <v>5942</v>
      </c>
      <c r="BW5" s="20"/>
      <c r="BX5" s="20"/>
      <c r="BY5" s="20"/>
    </row>
    <row r="6" spans="1:77" s="46" customFormat="1" ht="15" thickBot="1">
      <c r="A6" s="46" t="s">
        <v>13</v>
      </c>
      <c r="B6" s="47" t="s">
        <v>25</v>
      </c>
      <c r="C6" s="69"/>
      <c r="D6" s="46" t="s">
        <v>12</v>
      </c>
      <c r="E6" s="16">
        <f>+Precios!A4</f>
        <v>0</v>
      </c>
      <c r="F6" s="34">
        <f>+Precios!B4</f>
        <v>0</v>
      </c>
      <c r="G6" s="34">
        <f>+Precios!C4</f>
        <v>0</v>
      </c>
      <c r="H6" s="34">
        <f>+Precios!D4</f>
        <v>0</v>
      </c>
      <c r="I6" s="34">
        <f>+Precios!E4</f>
        <v>0</v>
      </c>
      <c r="J6" s="34">
        <f>+Precios!F4</f>
        <v>0</v>
      </c>
      <c r="K6" s="34">
        <f>+Precios!G4</f>
        <v>0</v>
      </c>
      <c r="L6" s="34">
        <f>+Precios!H4</f>
        <v>0</v>
      </c>
      <c r="M6" s="34">
        <f>+Precios!I4</f>
        <v>0</v>
      </c>
      <c r="N6" s="34">
        <f>+Precios!J4</f>
        <v>0</v>
      </c>
      <c r="O6" s="34">
        <f>+Precios!K4</f>
        <v>0</v>
      </c>
      <c r="P6" s="34">
        <f>+Precios!L4</f>
        <v>0</v>
      </c>
      <c r="Q6" s="34">
        <f>+Precios!M4</f>
        <v>0</v>
      </c>
      <c r="R6" s="34">
        <f>+Precios!N4</f>
        <v>0</v>
      </c>
      <c r="S6" s="34">
        <f>+Precios!O4</f>
        <v>0</v>
      </c>
      <c r="T6" s="34">
        <f>+Precios!P4</f>
        <v>0</v>
      </c>
      <c r="U6" s="34">
        <f>+Precios!Q4</f>
        <v>0</v>
      </c>
      <c r="V6" s="34">
        <f>+Precios!R4</f>
        <v>0</v>
      </c>
      <c r="W6" s="34">
        <f>+Precios!S4</f>
        <v>0</v>
      </c>
      <c r="X6" s="34">
        <f>+Precios!T4</f>
        <v>0</v>
      </c>
      <c r="Y6" s="34">
        <f>+Precios!U4</f>
        <v>0</v>
      </c>
      <c r="Z6" s="34">
        <f>+Precios!V4</f>
        <v>0</v>
      </c>
      <c r="AA6" s="16">
        <f>+Precios!W4</f>
        <v>0</v>
      </c>
      <c r="AB6" s="16">
        <f>+Precios!X4</f>
        <v>0</v>
      </c>
      <c r="AC6" s="16">
        <f>+Precios!Y4</f>
        <v>0</v>
      </c>
      <c r="AD6" s="16">
        <f>+Precios!Z4</f>
        <v>0</v>
      </c>
      <c r="AE6" s="16">
        <f>+Precios!AA4</f>
        <v>0</v>
      </c>
      <c r="AF6" s="16">
        <f>+Precios!AB4</f>
        <v>0</v>
      </c>
      <c r="AG6" s="16">
        <f>+Precios!AC4</f>
        <v>0</v>
      </c>
      <c r="AH6" s="16">
        <f>+Precios!AD4</f>
        <v>0</v>
      </c>
      <c r="AI6" s="16">
        <f>+Precios!AE4</f>
        <v>0</v>
      </c>
      <c r="AJ6" s="16">
        <f>+Precios!AF4</f>
        <v>0</v>
      </c>
      <c r="AK6" s="16">
        <f>+Precios!AG4</f>
        <v>0</v>
      </c>
      <c r="AL6" s="16">
        <f>+Precios!AH4</f>
        <v>0</v>
      </c>
      <c r="AM6" s="16">
        <f>+Precios!AI4</f>
        <v>0</v>
      </c>
      <c r="AN6" s="16">
        <f>+Precios!AJ4</f>
        <v>0</v>
      </c>
      <c r="AO6" s="16">
        <f>+Precios!AK4</f>
        <v>0</v>
      </c>
      <c r="AP6" s="16">
        <f>+Precios!AL4</f>
        <v>0</v>
      </c>
      <c r="AQ6" s="16">
        <f>+Precios!AM4</f>
        <v>0</v>
      </c>
      <c r="AR6" s="16">
        <f>+Precios!AN4</f>
        <v>0</v>
      </c>
      <c r="AS6" s="16">
        <f>+Precios!AO4</f>
        <v>0</v>
      </c>
      <c r="AT6" s="16">
        <f>+Precios!AP4</f>
        <v>0</v>
      </c>
      <c r="AU6" s="16">
        <f>+Precios!AQ4</f>
        <v>0</v>
      </c>
      <c r="AV6" s="16">
        <f>+Precios!AR4</f>
        <v>0</v>
      </c>
      <c r="AW6" s="16">
        <f>+Precios!AS4</f>
        <v>0</v>
      </c>
      <c r="AX6" s="16">
        <f>+Precios!AT4</f>
        <v>0</v>
      </c>
      <c r="AY6" s="16" t="s">
        <v>20</v>
      </c>
      <c r="AZ6" s="16">
        <f>+Precios!AV4</f>
        <v>0</v>
      </c>
      <c r="BA6" s="16">
        <f>+Precios!AW4</f>
        <v>0</v>
      </c>
      <c r="BB6" s="16">
        <f>+Precios!AX4</f>
        <v>0</v>
      </c>
      <c r="BC6" s="16">
        <f>+Precios!AY4</f>
        <v>0</v>
      </c>
      <c r="BD6" s="16">
        <f>+Precios!AZ4</f>
        <v>0</v>
      </c>
      <c r="BE6" s="16">
        <f>+Precios!BA4</f>
        <v>0</v>
      </c>
      <c r="BF6" s="16">
        <f>+Precios!BB4</f>
        <v>0</v>
      </c>
      <c r="BG6" s="16">
        <f>+Precios!BC4</f>
        <v>0</v>
      </c>
      <c r="BH6" s="16" t="str">
        <f>+Precios!BD4</f>
        <v>ALTO</v>
      </c>
      <c r="BI6" s="16">
        <f>+Precios!BE4</f>
        <v>0</v>
      </c>
      <c r="BJ6" s="16" t="str">
        <f>+Precios!BF4</f>
        <v>CAPR</v>
      </c>
      <c r="BK6" s="16">
        <f>+Precios!BG4</f>
        <v>0</v>
      </c>
      <c r="BL6" s="16">
        <f>+Precios!BH4</f>
        <v>0</v>
      </c>
      <c r="BM6" s="16">
        <f>+Precios!BI4</f>
        <v>0</v>
      </c>
      <c r="BN6" s="16" t="str">
        <f>+Precios!BJ4</f>
        <v>MRVL</v>
      </c>
      <c r="BO6" s="16" t="str">
        <f>+Precios!BK4</f>
        <v>LABU</v>
      </c>
      <c r="BP6" s="16">
        <f>+Precios!BL4</f>
        <v>0</v>
      </c>
      <c r="BQ6" s="16" t="str">
        <f>+Precios!BM4</f>
        <v>NTLA</v>
      </c>
      <c r="BR6" s="16" t="str">
        <f>+Precios!BN4</f>
        <v>LUNR</v>
      </c>
      <c r="BS6" s="16">
        <f>+Precios!BO4</f>
        <v>0</v>
      </c>
      <c r="BT6" s="16" t="str">
        <f>+Precios!BP4</f>
        <v>WULF</v>
      </c>
      <c r="BU6" s="16" t="str">
        <f>+Precios!BQ4</f>
        <v>BCRX</v>
      </c>
      <c r="BV6" s="16" t="str">
        <f>+Precios!BR4</f>
        <v>POET</v>
      </c>
      <c r="BW6" s="16" t="str">
        <f>+Precios!BS4</f>
        <v>ARM</v>
      </c>
      <c r="BX6" s="16" t="str">
        <f>+Precios!BT4</f>
        <v>CAVA</v>
      </c>
      <c r="BY6" s="16" t="str">
        <f>+Precios!BU4</f>
        <v>YOU</v>
      </c>
    </row>
    <row r="7" spans="1:77" ht="15" thickBot="1">
      <c r="A7" s="5">
        <f>+SUM(F7:XFD7)</f>
        <v>0</v>
      </c>
      <c r="B7" s="26"/>
      <c r="C7" s="5">
        <f>+B7</f>
        <v>0</v>
      </c>
      <c r="D7" s="5">
        <f>1000000+C7-Cost!A7</f>
        <v>1000000</v>
      </c>
      <c r="E7" s="15">
        <f>+Precios!A5</f>
        <v>45979</v>
      </c>
      <c r="F7" s="12">
        <f>+Precios!B5*Precios!B$3</f>
        <v>0</v>
      </c>
      <c r="G7" s="12">
        <f>+Precios!C5*Precios!C$3</f>
        <v>0</v>
      </c>
      <c r="H7" s="12">
        <f>+Precios!D5*Precios!D$3</f>
        <v>0</v>
      </c>
      <c r="I7" s="12">
        <f>+Precios!E5*Precios!E$3</f>
        <v>0</v>
      </c>
      <c r="J7" s="12">
        <f>+Precios!F5*Precios!F$3</f>
        <v>0</v>
      </c>
      <c r="K7" s="12">
        <f>+Precios!G5*Precios!G$3</f>
        <v>0</v>
      </c>
      <c r="L7" s="12">
        <f>+Precios!H5*Precios!H$3</f>
        <v>0</v>
      </c>
      <c r="M7" s="12">
        <f>+Precios!I5*Precios!I$3</f>
        <v>0</v>
      </c>
      <c r="N7" s="12">
        <f>+Precios!J5*Precios!J$3</f>
        <v>0</v>
      </c>
      <c r="O7" s="12">
        <f>+Precios!K5*Precios!K$3</f>
        <v>0</v>
      </c>
      <c r="P7" s="12">
        <f>+Precios!L5*Precios!L$3</f>
        <v>0</v>
      </c>
      <c r="Q7" s="12">
        <f>+Precios!M5*Precios!M$3</f>
        <v>0</v>
      </c>
      <c r="R7" s="12">
        <f>+Precios!N5*Precios!N$3</f>
        <v>0</v>
      </c>
      <c r="S7" s="12">
        <f>+Precios!O5*Precios!O$3</f>
        <v>0</v>
      </c>
      <c r="T7" s="12">
        <f>+Precios!P5*Precios!P$3</f>
        <v>0</v>
      </c>
      <c r="U7" s="12">
        <f>+Precios!Q5*Precios!Q$3</f>
        <v>0</v>
      </c>
      <c r="V7" s="12">
        <f>+Precios!R5*Precios!R$3</f>
        <v>0</v>
      </c>
      <c r="W7" s="12">
        <f>+Precios!S5*Precios!S$3</f>
        <v>0</v>
      </c>
      <c r="X7" s="12">
        <f>+Precios!T5*Precios!T$3</f>
        <v>0</v>
      </c>
      <c r="Y7" s="12">
        <f>+Precios!U5*Precios!U$3</f>
        <v>0</v>
      </c>
      <c r="Z7" s="12">
        <f>+Precios!V5*Precios!V$3</f>
        <v>0</v>
      </c>
      <c r="AA7" s="12">
        <f>+Precios!W5*Precios!W$3</f>
        <v>0</v>
      </c>
      <c r="AB7" s="12">
        <f>+Precios!X5*Precios!X$3</f>
        <v>0</v>
      </c>
      <c r="AC7" s="12">
        <f>+Precios!Y5*Precios!Y$3</f>
        <v>0</v>
      </c>
      <c r="AD7" s="12">
        <f>+Precios!Z5*Precios!Z$3</f>
        <v>0</v>
      </c>
      <c r="AE7" s="12">
        <f>+Precios!AA5*Precios!AA$3</f>
        <v>0</v>
      </c>
      <c r="AF7" s="12">
        <f>+Precios!AB5*Precios!AB$3</f>
        <v>0</v>
      </c>
      <c r="AG7" s="12">
        <f>+Precios!AC5*Precios!AC$3</f>
        <v>0</v>
      </c>
      <c r="AH7" s="12">
        <f>+Precios!AD5*Precios!AD$3</f>
        <v>0</v>
      </c>
      <c r="AI7" s="12">
        <f>+Precios!AE5*Precios!AE$3</f>
        <v>0</v>
      </c>
      <c r="AJ7" s="12">
        <f>+Precios!AF5*Precios!AF$3</f>
        <v>0</v>
      </c>
      <c r="AK7" s="12">
        <f>+Precios!AG5*Precios!AG$3</f>
        <v>0</v>
      </c>
      <c r="AL7" s="12">
        <f>+Precios!AH5*Precios!AH$3</f>
        <v>0</v>
      </c>
      <c r="AM7" s="12">
        <f>+Precios!AI5*Precios!AI$3</f>
        <v>0</v>
      </c>
      <c r="AN7" s="12">
        <f>+Precios!AJ5*Precios!AJ$3</f>
        <v>0</v>
      </c>
      <c r="AO7" s="12">
        <f>+Precios!AK5*Precios!AK$3</f>
        <v>0</v>
      </c>
      <c r="AP7" s="12">
        <f>+Precios!AL5*Precios!AL$3</f>
        <v>0</v>
      </c>
      <c r="AQ7" s="12">
        <f>+Precios!AM5*Precios!AM$3</f>
        <v>0</v>
      </c>
      <c r="AR7" s="12">
        <f>+Precios!AN5*Precios!AN$3</f>
        <v>0</v>
      </c>
      <c r="AS7" s="12">
        <f>+Precios!AO5*Precios!AO$3</f>
        <v>0</v>
      </c>
      <c r="AT7" s="12">
        <f>+Precios!AP5*Precios!AP$3</f>
        <v>0</v>
      </c>
      <c r="AU7" s="12">
        <f>+Precios!AQ5*Precios!AQ$3</f>
        <v>0</v>
      </c>
      <c r="AV7" s="12">
        <f>+Precios!AR5*Precios!AR$3</f>
        <v>0</v>
      </c>
      <c r="AW7" s="12">
        <f>+Precios!AS5*Precios!AS$3</f>
        <v>0</v>
      </c>
      <c r="AX7" s="12">
        <f>+Precios!AT5*Precios!AT$3</f>
        <v>0</v>
      </c>
      <c r="AY7" s="12">
        <f>+Precios!AU5*$AY$3</f>
        <v>0</v>
      </c>
      <c r="AZ7" s="12">
        <f>+Precios!AV5*Precios!AV$3</f>
        <v>0</v>
      </c>
      <c r="BA7" s="12">
        <f>+Precios!AW5*Precios!AW$3</f>
        <v>0</v>
      </c>
      <c r="BB7" s="12">
        <f>+Precios!AX5*Precios!AX$3</f>
        <v>0</v>
      </c>
      <c r="BC7" s="12">
        <f>+Precios!AY5*Precios!AY$3</f>
        <v>0</v>
      </c>
      <c r="BD7" s="12">
        <f>+Precios!AZ5*Precios!AZ$3</f>
        <v>0</v>
      </c>
      <c r="BE7" s="12">
        <f>+Precios!BA5*Precios!BA$3</f>
        <v>0</v>
      </c>
      <c r="BF7" s="12">
        <f>+Precios!BB5*Precios!BB$3</f>
        <v>0</v>
      </c>
      <c r="BG7" s="12">
        <f>+Precios!BC5*Precios!BC$3</f>
        <v>0</v>
      </c>
      <c r="BH7" s="12">
        <f>+Precios!BD5*$BH$3</f>
        <v>0</v>
      </c>
      <c r="BI7" s="12">
        <f>+Precios!BE5*Precios!BE$3</f>
        <v>0</v>
      </c>
      <c r="BJ7" s="12">
        <f>+Precios!BF5*Precios!BF$3</f>
        <v>0</v>
      </c>
      <c r="BK7" s="12">
        <f>+Precios!BG5*Precios!BG$3</f>
        <v>0</v>
      </c>
      <c r="BL7" s="12">
        <f>+Precios!BH5*Precios!BH$3</f>
        <v>0</v>
      </c>
      <c r="BM7" s="12">
        <f>+Precios!BI5*Precios!BI$3</f>
        <v>0</v>
      </c>
      <c r="BN7" s="12">
        <f>+Precios!BJ5*$BN$3</f>
        <v>0</v>
      </c>
      <c r="BO7" s="12">
        <f>+Precios!BK5*$BO$3</f>
        <v>0</v>
      </c>
      <c r="BP7" s="12">
        <f>+Precios!BL5*Precios!BL$3</f>
        <v>0</v>
      </c>
    </row>
    <row r="8" spans="1:77" ht="15" thickBot="1">
      <c r="A8" s="5">
        <f>+SUM(F8:XFD8)</f>
        <v>0</v>
      </c>
      <c r="B8" s="26"/>
      <c r="C8" s="5">
        <f>+C7+B8</f>
        <v>0</v>
      </c>
      <c r="D8" s="5">
        <f>1000000+C8-Cost!A8</f>
        <v>1000000</v>
      </c>
      <c r="E8" s="15">
        <f>+Precios!A6</f>
        <v>45980</v>
      </c>
      <c r="F8" s="12">
        <f>+Precios!B6*Precios!B$3</f>
        <v>0</v>
      </c>
      <c r="G8" s="12">
        <f>+Precios!C6*Precios!C$3</f>
        <v>0</v>
      </c>
      <c r="H8" s="12">
        <f>+Precios!D6*Precios!D$3</f>
        <v>0</v>
      </c>
      <c r="I8" s="12">
        <f>+Precios!E6*Precios!E$3</f>
        <v>0</v>
      </c>
      <c r="J8" s="12">
        <f>+Precios!F6*Precios!F$3</f>
        <v>0</v>
      </c>
      <c r="K8" s="12">
        <f>+Precios!G6*Precios!G$3</f>
        <v>0</v>
      </c>
      <c r="L8" s="12">
        <f>+Precios!H6*Precios!H$3</f>
        <v>0</v>
      </c>
      <c r="M8" s="12">
        <f>+Precios!I6*Precios!I$3</f>
        <v>0</v>
      </c>
      <c r="N8" s="12">
        <f>+Precios!J6*Precios!J$3</f>
        <v>0</v>
      </c>
      <c r="O8" s="12">
        <f>+Precios!K6*Precios!K$3</f>
        <v>0</v>
      </c>
      <c r="P8" s="12">
        <f>+Precios!L6*Precios!L$3</f>
        <v>0</v>
      </c>
      <c r="Q8" s="12">
        <f>+Precios!M6*Precios!M$3</f>
        <v>0</v>
      </c>
      <c r="R8" s="12">
        <f>+Precios!N6*Precios!N$3</f>
        <v>0</v>
      </c>
      <c r="S8" s="12">
        <f>+Precios!O6*Precios!O$3</f>
        <v>0</v>
      </c>
      <c r="T8" s="12">
        <f>+Precios!P6*Precios!P$3</f>
        <v>0</v>
      </c>
      <c r="U8" s="12">
        <f>+Precios!Q6*Precios!Q$3</f>
        <v>0</v>
      </c>
      <c r="V8" s="12">
        <f>+Precios!R6*Precios!R$3</f>
        <v>0</v>
      </c>
      <c r="W8" s="12">
        <f>+Precios!S6*Precios!S$3</f>
        <v>0</v>
      </c>
      <c r="X8" s="12">
        <f>+Precios!T6*Precios!T$3</f>
        <v>0</v>
      </c>
      <c r="Y8" s="12">
        <f>+Precios!U6*Precios!U$3</f>
        <v>0</v>
      </c>
      <c r="Z8" s="12">
        <f>+Precios!V6*Precios!V$3</f>
        <v>0</v>
      </c>
      <c r="AA8" s="12">
        <f>+Precios!W6*Precios!W$3</f>
        <v>0</v>
      </c>
      <c r="AB8" s="12">
        <f>+Precios!X6*Precios!X$3</f>
        <v>0</v>
      </c>
      <c r="AC8" s="12">
        <f>+Precios!Y6*Precios!Y$3</f>
        <v>0</v>
      </c>
      <c r="AD8" s="12">
        <f>+Precios!Z6*Precios!Z$3</f>
        <v>0</v>
      </c>
      <c r="AE8" s="12">
        <f>+Precios!AA6*Precios!AA$3</f>
        <v>0</v>
      </c>
      <c r="AF8" s="12">
        <f>+Precios!AB6*Precios!AB$3</f>
        <v>0</v>
      </c>
      <c r="AG8" s="12">
        <f>+Precios!AC6*Precios!AC$3</f>
        <v>0</v>
      </c>
      <c r="AH8" s="12">
        <f>+Precios!AD6*Precios!AD$3</f>
        <v>0</v>
      </c>
      <c r="AI8" s="12">
        <f>+Precios!AE6*Precios!AE$3</f>
        <v>0</v>
      </c>
      <c r="AJ8" s="12">
        <f>+Precios!AF6*Precios!AF$3</f>
        <v>0</v>
      </c>
      <c r="AK8" s="12">
        <f>+Precios!AG6*Precios!AG$3</f>
        <v>0</v>
      </c>
      <c r="AL8" s="12">
        <f>+Precios!AH6*Precios!AH$3</f>
        <v>0</v>
      </c>
      <c r="AM8" s="12">
        <f>+Precios!AI6*Precios!AI$3</f>
        <v>0</v>
      </c>
      <c r="AN8" s="12">
        <f>+Precios!AJ6*Precios!AJ$3</f>
        <v>0</v>
      </c>
      <c r="AO8" s="12">
        <f>+Precios!AK6*Precios!AK$3</f>
        <v>0</v>
      </c>
      <c r="AP8" s="12">
        <f>+Precios!AL6*Precios!AL$3</f>
        <v>0</v>
      </c>
      <c r="AQ8" s="12">
        <f>+Precios!AM6*Precios!AM$3</f>
        <v>0</v>
      </c>
      <c r="AR8" s="12">
        <f>+Precios!AN6*Precios!AN$3</f>
        <v>0</v>
      </c>
      <c r="AS8" s="12">
        <f>+Precios!AO6*Precios!AO$3</f>
        <v>0</v>
      </c>
      <c r="AT8" s="12">
        <f>+Precios!AP6*Precios!AP$3</f>
        <v>0</v>
      </c>
      <c r="AU8" s="12">
        <f>+Precios!AQ6*Precios!AQ$3</f>
        <v>0</v>
      </c>
      <c r="AV8" s="12">
        <f>+Precios!AR6*Precios!AR$3</f>
        <v>0</v>
      </c>
      <c r="AW8" s="12">
        <f>+Precios!AS6*Precios!AS$3</f>
        <v>0</v>
      </c>
      <c r="AX8" s="12">
        <f>+Precios!AT6*Precios!AT$3</f>
        <v>0</v>
      </c>
      <c r="AY8" s="12">
        <f>+Precios!AU6*$AY$3</f>
        <v>0</v>
      </c>
      <c r="AZ8" s="12">
        <f>+Precios!AV6*Precios!AV$3</f>
        <v>0</v>
      </c>
      <c r="BA8" s="12">
        <f>+Precios!AW6*Precios!AW$3</f>
        <v>0</v>
      </c>
      <c r="BB8" s="12">
        <f>+Precios!AX6*Precios!AX$3</f>
        <v>0</v>
      </c>
      <c r="BC8" s="12">
        <f>+Precios!AY6*Precios!AY$3</f>
        <v>0</v>
      </c>
      <c r="BD8" s="12">
        <f>+Precios!AZ6*Precios!AZ$3</f>
        <v>0</v>
      </c>
      <c r="BE8" s="12">
        <f>+Precios!BA6*Precios!BA$3</f>
        <v>0</v>
      </c>
      <c r="BF8" s="12">
        <f>+Precios!BB6*Precios!BB$3</f>
        <v>0</v>
      </c>
      <c r="BG8" s="12">
        <f>+Precios!BC6*Precios!BC$3</f>
        <v>0</v>
      </c>
      <c r="BH8" s="12">
        <f>+Precios!BD6*$BH$3</f>
        <v>0</v>
      </c>
      <c r="BI8" s="12">
        <f>+Precios!BE6*Precios!BE$3</f>
        <v>0</v>
      </c>
      <c r="BJ8" s="12">
        <f>+Precios!BF6*Precios!BF$3</f>
        <v>0</v>
      </c>
      <c r="BK8" s="12">
        <f>+Precios!BG6*Precios!BG$3</f>
        <v>0</v>
      </c>
      <c r="BL8" s="12">
        <f>+Precios!BH6*Precios!BH$3</f>
        <v>0</v>
      </c>
      <c r="BM8" s="12">
        <f>+Precios!BI6*Precios!BI$3</f>
        <v>0</v>
      </c>
      <c r="BN8" s="12">
        <f>+Precios!BJ6*$BN$3</f>
        <v>0</v>
      </c>
      <c r="BO8" s="12">
        <f>+Precios!BK6*$BO$3</f>
        <v>0</v>
      </c>
      <c r="BP8" s="12">
        <f>+Precios!BL6*Precios!BL$3</f>
        <v>0</v>
      </c>
    </row>
    <row r="9" spans="1:77" ht="15" thickBot="1">
      <c r="A9" s="5">
        <f>+SUM(F9:XFD9)</f>
        <v>0</v>
      </c>
      <c r="B9" s="26"/>
      <c r="C9" s="5">
        <f t="shared" ref="C9:C72" si="0">+C8+B9</f>
        <v>0</v>
      </c>
      <c r="D9" s="5">
        <f>1000000+C9-Cost!A9</f>
        <v>1000000</v>
      </c>
      <c r="E9" s="15">
        <f>+Precios!A7</f>
        <v>45981</v>
      </c>
      <c r="F9" s="12">
        <f>+Precios!B7*Precios!B$3</f>
        <v>0</v>
      </c>
      <c r="G9" s="12">
        <f>+Precios!C7*Precios!C$3</f>
        <v>0</v>
      </c>
      <c r="H9" s="12">
        <f>+Precios!D7*Precios!D$3</f>
        <v>0</v>
      </c>
      <c r="I9" s="12">
        <f>+Precios!E7*Precios!E$3</f>
        <v>0</v>
      </c>
      <c r="J9" s="12">
        <f>+Precios!F7*Precios!F$3</f>
        <v>0</v>
      </c>
      <c r="K9" s="12">
        <f>+Precios!G7*Precios!G$3</f>
        <v>0</v>
      </c>
      <c r="L9" s="12">
        <f>+Precios!H7*Precios!H$3</f>
        <v>0</v>
      </c>
      <c r="M9" s="12">
        <f>+Precios!I7*Precios!I$3</f>
        <v>0</v>
      </c>
      <c r="N9" s="12">
        <f>+Precios!J7*Precios!J$3</f>
        <v>0</v>
      </c>
      <c r="O9" s="12">
        <f>+Precios!K7*Precios!K$3</f>
        <v>0</v>
      </c>
      <c r="P9" s="12">
        <f>+Precios!L7*Precios!L$3</f>
        <v>0</v>
      </c>
      <c r="Q9" s="12">
        <f>+Precios!M7*Precios!M$3</f>
        <v>0</v>
      </c>
      <c r="R9" s="12">
        <f>+Precios!N7*Precios!N$3</f>
        <v>0</v>
      </c>
      <c r="S9" s="12">
        <f>+Precios!O7*Precios!O$3</f>
        <v>0</v>
      </c>
      <c r="T9" s="12">
        <f>+Precios!P7*Precios!P$3</f>
        <v>0</v>
      </c>
      <c r="U9" s="12">
        <f>+Precios!Q7*Precios!Q$3</f>
        <v>0</v>
      </c>
      <c r="V9" s="12">
        <f>+Precios!R7*Precios!R$3</f>
        <v>0</v>
      </c>
      <c r="W9" s="12">
        <f>+Precios!S7*Precios!S$3</f>
        <v>0</v>
      </c>
      <c r="X9" s="12">
        <f>+Precios!T7*Precios!T$3</f>
        <v>0</v>
      </c>
      <c r="Y9" s="12">
        <f>+Precios!U7*Precios!U$3</f>
        <v>0</v>
      </c>
      <c r="Z9" s="12">
        <f>+Precios!V7*Precios!V$3</f>
        <v>0</v>
      </c>
      <c r="AA9" s="12">
        <f>+Precios!W7*Precios!W$3</f>
        <v>0</v>
      </c>
      <c r="AB9" s="12">
        <f>+Precios!X7*Precios!X$3</f>
        <v>0</v>
      </c>
      <c r="AC9" s="12">
        <f>+Precios!Y7*Precios!Y$3</f>
        <v>0</v>
      </c>
      <c r="AD9" s="12">
        <f>+Precios!Z7*Precios!Z$3</f>
        <v>0</v>
      </c>
      <c r="AE9" s="12">
        <f>+Precios!AA7*Precios!AA$3</f>
        <v>0</v>
      </c>
      <c r="AF9" s="12">
        <f>+Precios!AB7*Precios!AB$3</f>
        <v>0</v>
      </c>
      <c r="AG9" s="12">
        <f>+Precios!AC7*Precios!AC$3</f>
        <v>0</v>
      </c>
      <c r="AH9" s="12">
        <f>+Precios!AD7*Precios!AD$3</f>
        <v>0</v>
      </c>
      <c r="AI9" s="12">
        <f>+Precios!AE7*Precios!AE$3</f>
        <v>0</v>
      </c>
      <c r="AJ9" s="12">
        <f>+Precios!AF7*Precios!AF$3</f>
        <v>0</v>
      </c>
      <c r="AK9" s="12">
        <f>+Precios!AG7*Precios!AG$3</f>
        <v>0</v>
      </c>
      <c r="AL9" s="12">
        <f>+Precios!AH7*Precios!AH$3</f>
        <v>0</v>
      </c>
      <c r="AM9" s="12">
        <f>+Precios!AI7*Precios!AI$3</f>
        <v>0</v>
      </c>
      <c r="AN9" s="12">
        <f>+Precios!AJ7*Precios!AJ$3</f>
        <v>0</v>
      </c>
      <c r="AO9" s="12">
        <f>+Precios!AK7*Precios!AK$3</f>
        <v>0</v>
      </c>
      <c r="AP9" s="12">
        <f>+Precios!AL7*Precios!AL$3</f>
        <v>0</v>
      </c>
      <c r="AQ9" s="12">
        <f>+Precios!AM7*Precios!AM$3</f>
        <v>0</v>
      </c>
      <c r="AR9" s="12">
        <f>+Precios!AN7*Precios!AN$3</f>
        <v>0</v>
      </c>
      <c r="AS9" s="12">
        <f>+Precios!AO7*Precios!AO$3</f>
        <v>0</v>
      </c>
      <c r="AT9" s="12">
        <f>+Precios!AP7*Precios!AP$3</f>
        <v>0</v>
      </c>
      <c r="AU9" s="12">
        <f>+Precios!AQ7*Precios!AQ$3</f>
        <v>0</v>
      </c>
      <c r="AV9" s="12">
        <f>+Precios!AR7*Precios!AR$3</f>
        <v>0</v>
      </c>
      <c r="AW9" s="12">
        <f>+Precios!AS7*Precios!AS$3</f>
        <v>0</v>
      </c>
      <c r="AX9" s="12">
        <f>+Precios!AT7*Precios!AT$3</f>
        <v>0</v>
      </c>
      <c r="AY9" s="12">
        <f>+Precios!AU7*$AY$3</f>
        <v>0</v>
      </c>
      <c r="AZ9" s="12">
        <f>+Precios!AV7*Precios!AV$3</f>
        <v>0</v>
      </c>
      <c r="BA9" s="12">
        <f>+Precios!AW7*Precios!AW$3</f>
        <v>0</v>
      </c>
      <c r="BB9" s="12">
        <f>+Precios!AX7*Precios!AX$3</f>
        <v>0</v>
      </c>
      <c r="BC9" s="12">
        <f>+Precios!AY7*Precios!AY$3</f>
        <v>0</v>
      </c>
      <c r="BD9" s="12">
        <f>+Precios!AZ7*Precios!AZ$3</f>
        <v>0</v>
      </c>
      <c r="BE9" s="12">
        <f>+Precios!BA7*Precios!BA$3</f>
        <v>0</v>
      </c>
      <c r="BF9" s="12">
        <f>+Precios!BB7*Precios!BB$3</f>
        <v>0</v>
      </c>
      <c r="BG9" s="12">
        <f>+Precios!BC7*Precios!BC$3</f>
        <v>0</v>
      </c>
      <c r="BH9" s="12">
        <f>+Precios!BD7*$BH$3</f>
        <v>0</v>
      </c>
      <c r="BI9" s="12">
        <f>+Precios!BE7*Precios!BE$3</f>
        <v>0</v>
      </c>
      <c r="BJ9" s="12">
        <f>+Precios!BF7*Precios!BF$3</f>
        <v>0</v>
      </c>
      <c r="BK9" s="12">
        <f>+Precios!BG7*Precios!BG$3</f>
        <v>0</v>
      </c>
      <c r="BL9" s="12">
        <f>+Precios!BH7*Precios!BH$3</f>
        <v>0</v>
      </c>
      <c r="BM9" s="12">
        <f>+Precios!BI7*Precios!BI$3</f>
        <v>0</v>
      </c>
      <c r="BN9" s="12">
        <f>+Precios!BJ7*$BN$3</f>
        <v>0</v>
      </c>
      <c r="BO9" s="12">
        <f>+Precios!BK7*$BO$3</f>
        <v>0</v>
      </c>
      <c r="BP9" s="12">
        <f>+Precios!BL7*Precios!BL$3</f>
        <v>0</v>
      </c>
    </row>
    <row r="10" spans="1:77" ht="15" thickBot="1">
      <c r="A10" s="5">
        <f>+SUM(F10:XFD10)</f>
        <v>0</v>
      </c>
      <c r="B10" s="26"/>
      <c r="C10" s="5">
        <f t="shared" si="0"/>
        <v>0</v>
      </c>
      <c r="D10" s="5">
        <f>1000000+C10-Cost!A10</f>
        <v>1000000</v>
      </c>
      <c r="E10" s="15">
        <f>+Precios!A8</f>
        <v>45982</v>
      </c>
      <c r="F10" s="12">
        <f>+Precios!B8*Precios!B$3</f>
        <v>0</v>
      </c>
      <c r="G10" s="12">
        <f>+Precios!C8*Precios!C$3</f>
        <v>0</v>
      </c>
      <c r="H10" s="12">
        <f>+Precios!D8*Precios!D$3</f>
        <v>0</v>
      </c>
      <c r="I10" s="12">
        <f>+Precios!E8*Precios!E$3</f>
        <v>0</v>
      </c>
      <c r="J10" s="12">
        <f>+Precios!F8*Precios!F$3</f>
        <v>0</v>
      </c>
      <c r="K10" s="12">
        <f>+Precios!G8*Precios!G$3</f>
        <v>0</v>
      </c>
      <c r="L10" s="12">
        <f>+Precios!H8*Precios!H$3</f>
        <v>0</v>
      </c>
      <c r="M10" s="12">
        <f>+Precios!I8*Precios!I$3</f>
        <v>0</v>
      </c>
      <c r="N10" s="12">
        <f>+Precios!J8*Precios!J$3</f>
        <v>0</v>
      </c>
      <c r="O10" s="12">
        <f>+Precios!K8*Precios!K$3</f>
        <v>0</v>
      </c>
      <c r="P10" s="12">
        <f>+Precios!L8*Precios!L$3</f>
        <v>0</v>
      </c>
      <c r="Q10" s="12">
        <f>+Precios!M8*Precios!M$3</f>
        <v>0</v>
      </c>
      <c r="R10" s="12">
        <f>+Precios!N8*Precios!N$3</f>
        <v>0</v>
      </c>
      <c r="S10" s="12">
        <f>+Precios!O8*Precios!O$3</f>
        <v>0</v>
      </c>
      <c r="T10" s="12">
        <f>+Precios!P8*Precios!P$3</f>
        <v>0</v>
      </c>
      <c r="U10" s="12">
        <f>+Precios!Q8*Precios!Q$3</f>
        <v>0</v>
      </c>
      <c r="V10" s="12">
        <f>+Precios!R8*Precios!R$3</f>
        <v>0</v>
      </c>
      <c r="W10" s="12">
        <f>+Precios!S8*Precios!S$3</f>
        <v>0</v>
      </c>
      <c r="X10" s="12">
        <f>+Precios!T8*Precios!T$3</f>
        <v>0</v>
      </c>
      <c r="Y10" s="12">
        <f>+Precios!U8*Precios!U$3</f>
        <v>0</v>
      </c>
      <c r="Z10" s="12">
        <f>+Precios!V8*Precios!V$3</f>
        <v>0</v>
      </c>
      <c r="AA10" s="12">
        <f>+Precios!W8*Precios!W$3</f>
        <v>0</v>
      </c>
      <c r="AB10" s="12">
        <f>+Precios!X8*Precios!X$3</f>
        <v>0</v>
      </c>
      <c r="AC10" s="12">
        <f>+Precios!Y8*Precios!Y$3</f>
        <v>0</v>
      </c>
      <c r="AD10" s="12">
        <f>+Precios!Z8*Precios!Z$3</f>
        <v>0</v>
      </c>
      <c r="AE10" s="12">
        <f>+Precios!AA8*Precios!AA$3</f>
        <v>0</v>
      </c>
      <c r="AF10" s="12">
        <f>+Precios!AB8*Precios!AB$3</f>
        <v>0</v>
      </c>
      <c r="AG10" s="12">
        <f>+Precios!AC8*Precios!AC$3</f>
        <v>0</v>
      </c>
      <c r="AH10" s="12">
        <f>+Precios!AD8*Precios!AD$3</f>
        <v>0</v>
      </c>
      <c r="AI10" s="12">
        <f>+Precios!AE8*Precios!AE$3</f>
        <v>0</v>
      </c>
      <c r="AJ10" s="12">
        <f>+Precios!AF8*Precios!AF$3</f>
        <v>0</v>
      </c>
      <c r="AK10" s="12">
        <f>+Precios!AG8*Precios!AG$3</f>
        <v>0</v>
      </c>
      <c r="AL10" s="12">
        <f>+Precios!AH8*Precios!AH$3</f>
        <v>0</v>
      </c>
      <c r="AM10" s="12">
        <f>+Precios!AI8*Precios!AI$3</f>
        <v>0</v>
      </c>
      <c r="AN10" s="12">
        <f>+Precios!AJ8*Precios!AJ$3</f>
        <v>0</v>
      </c>
      <c r="AO10" s="12">
        <f>+Precios!AK8*Precios!AK$3</f>
        <v>0</v>
      </c>
      <c r="AP10" s="12">
        <f>+Precios!AL8*Precios!AL$3</f>
        <v>0</v>
      </c>
      <c r="AQ10" s="12">
        <f>+Precios!AM8*Precios!AM$3</f>
        <v>0</v>
      </c>
      <c r="AR10" s="12">
        <f>+Precios!AN8*Precios!AN$3</f>
        <v>0</v>
      </c>
      <c r="AS10" s="12">
        <f>+Precios!AO8*Precios!AO$3</f>
        <v>0</v>
      </c>
      <c r="AT10" s="12">
        <f>+Precios!AP8*Precios!AP$3</f>
        <v>0</v>
      </c>
      <c r="AU10" s="12">
        <f>+Precios!AQ8*Precios!AQ$3</f>
        <v>0</v>
      </c>
      <c r="AV10" s="12">
        <f>+Precios!AR8*Precios!AR$3</f>
        <v>0</v>
      </c>
      <c r="AW10" s="12">
        <f>+Precios!AS8*Precios!AS$3</f>
        <v>0</v>
      </c>
      <c r="AX10" s="12">
        <f>+Precios!AT8*Precios!AT$3</f>
        <v>0</v>
      </c>
      <c r="AY10" s="12">
        <f>+Precios!AU8*$AY$3</f>
        <v>0</v>
      </c>
      <c r="AZ10" s="12">
        <f>+Precios!AV8*Precios!AV$3</f>
        <v>0</v>
      </c>
      <c r="BA10" s="12">
        <f>+Precios!AW8*Precios!AW$3</f>
        <v>0</v>
      </c>
      <c r="BB10" s="12">
        <f>+Precios!AX8*Precios!AX$3</f>
        <v>0</v>
      </c>
      <c r="BC10" s="12">
        <f>+Precios!AY8*Precios!AY$3</f>
        <v>0</v>
      </c>
      <c r="BD10" s="12">
        <f>+Precios!AZ8*Precios!AZ$3</f>
        <v>0</v>
      </c>
      <c r="BE10" s="12">
        <f>+Precios!BA8*Precios!BA$3</f>
        <v>0</v>
      </c>
      <c r="BF10" s="12">
        <f>+Precios!BB8*Precios!BB$3</f>
        <v>0</v>
      </c>
      <c r="BG10" s="12">
        <f>+Precios!BC8*Precios!BC$3</f>
        <v>0</v>
      </c>
      <c r="BH10" s="12">
        <f>+Precios!BD8*$BH$3</f>
        <v>0</v>
      </c>
      <c r="BI10" s="12">
        <f>+Precios!BE8*Precios!BE$3</f>
        <v>0</v>
      </c>
      <c r="BJ10" s="12">
        <f>+Precios!BF8*Precios!BF$3</f>
        <v>0</v>
      </c>
      <c r="BK10" s="12">
        <f>+Precios!BG8*Precios!BG$3</f>
        <v>0</v>
      </c>
      <c r="BL10" s="12">
        <f>+Precios!BH8*Precios!BH$3</f>
        <v>0</v>
      </c>
      <c r="BM10" s="12">
        <f>+Precios!BI8*Precios!BI$3</f>
        <v>0</v>
      </c>
      <c r="BN10" s="12">
        <f>+Precios!BJ8*$BN$3</f>
        <v>0</v>
      </c>
      <c r="BO10" s="12">
        <f>+Precios!BK8*$BO$3</f>
        <v>0</v>
      </c>
      <c r="BP10" s="12">
        <f>+Precios!BL8*Precios!BL$3</f>
        <v>0</v>
      </c>
    </row>
    <row r="11" spans="1:77" ht="15" thickBot="1">
      <c r="A11" s="5">
        <f>+SUM(F11:XFD11)</f>
        <v>0</v>
      </c>
      <c r="B11" s="26"/>
      <c r="C11" s="5">
        <f t="shared" si="0"/>
        <v>0</v>
      </c>
      <c r="D11" s="5">
        <f>1000000+C11-Cost!A11</f>
        <v>1000000</v>
      </c>
      <c r="E11" s="15">
        <f>+Precios!A9</f>
        <v>45985</v>
      </c>
      <c r="F11" s="12">
        <f>+Precios!B9*Precios!B$3</f>
        <v>0</v>
      </c>
      <c r="G11" s="12">
        <f>+Precios!C9*Precios!C$3</f>
        <v>0</v>
      </c>
      <c r="H11" s="12">
        <f>+Precios!D9*Precios!D$3</f>
        <v>0</v>
      </c>
      <c r="I11" s="12">
        <f>+Precios!E9*Precios!E$3</f>
        <v>0</v>
      </c>
      <c r="J11" s="12">
        <f>+Precios!F9*Precios!F$3</f>
        <v>0</v>
      </c>
      <c r="K11" s="12">
        <f>+Precios!G9*Precios!G$3</f>
        <v>0</v>
      </c>
      <c r="L11" s="12">
        <f>+Precios!H9*Precios!H$3</f>
        <v>0</v>
      </c>
      <c r="M11" s="12">
        <f>+Precios!I9*Precios!I$3</f>
        <v>0</v>
      </c>
      <c r="N11" s="12">
        <f>+Precios!J9*Precios!J$3</f>
        <v>0</v>
      </c>
      <c r="O11" s="12">
        <f>+Precios!K9*Precios!K$3</f>
        <v>0</v>
      </c>
      <c r="P11" s="12">
        <f>+Precios!L9*Precios!L$3</f>
        <v>0</v>
      </c>
      <c r="Q11" s="12">
        <f>+Precios!M9*Precios!M$3</f>
        <v>0</v>
      </c>
      <c r="R11" s="12">
        <f>+Precios!N9*Precios!N$3</f>
        <v>0</v>
      </c>
      <c r="S11" s="12">
        <f>+Precios!O9*Precios!O$3</f>
        <v>0</v>
      </c>
      <c r="T11" s="12">
        <f>+Precios!P9*Precios!P$3</f>
        <v>0</v>
      </c>
      <c r="U11" s="12">
        <f>+Precios!Q9*Precios!Q$3</f>
        <v>0</v>
      </c>
      <c r="V11" s="12">
        <f>+Precios!R9*Precios!R$3</f>
        <v>0</v>
      </c>
      <c r="W11" s="12">
        <f>+Precios!S9*Precios!S$3</f>
        <v>0</v>
      </c>
      <c r="X11" s="12">
        <f>+Precios!T9*Precios!T$3</f>
        <v>0</v>
      </c>
      <c r="Y11" s="12">
        <f>+Precios!U9*Precios!U$3</f>
        <v>0</v>
      </c>
      <c r="Z11" s="12">
        <f>+Precios!V9*Precios!V$3</f>
        <v>0</v>
      </c>
      <c r="AA11" s="12">
        <f>+Precios!W9*Precios!W$3</f>
        <v>0</v>
      </c>
      <c r="AB11" s="12">
        <f>+Precios!X9*Precios!X$3</f>
        <v>0</v>
      </c>
      <c r="AC11" s="12">
        <f>+Precios!Y9*Precios!Y$3</f>
        <v>0</v>
      </c>
      <c r="AD11" s="12">
        <f>+Precios!Z9*Precios!Z$3</f>
        <v>0</v>
      </c>
      <c r="AE11" s="12">
        <f>+Precios!AA9*Precios!AA$3</f>
        <v>0</v>
      </c>
      <c r="AF11" s="12">
        <f>+Precios!AB9*Precios!AB$3</f>
        <v>0</v>
      </c>
      <c r="AG11" s="12">
        <f>+Precios!AC9*Precios!AC$3</f>
        <v>0</v>
      </c>
      <c r="AH11" s="12">
        <f>+Precios!AD9*Precios!AD$3</f>
        <v>0</v>
      </c>
      <c r="AI11" s="12">
        <f>+Precios!AE9*Precios!AE$3</f>
        <v>0</v>
      </c>
      <c r="AJ11" s="12">
        <f>+Precios!AF9*Precios!AF$3</f>
        <v>0</v>
      </c>
      <c r="AK11" s="12">
        <f>+Precios!AG9*Precios!AG$3</f>
        <v>0</v>
      </c>
      <c r="AL11" s="12">
        <f>+Precios!AH9*Precios!AH$3</f>
        <v>0</v>
      </c>
      <c r="AM11" s="12">
        <f>+Precios!AI9*Precios!AI$3</f>
        <v>0</v>
      </c>
      <c r="AN11" s="12">
        <f>+Precios!AJ9*Precios!AJ$3</f>
        <v>0</v>
      </c>
      <c r="AO11" s="12">
        <f>+Precios!AK9*Precios!AK$3</f>
        <v>0</v>
      </c>
      <c r="AP11" s="12">
        <f>+Precios!AL9*Precios!AL$3</f>
        <v>0</v>
      </c>
      <c r="AQ11" s="12">
        <f>+Precios!AM9*Precios!AM$3</f>
        <v>0</v>
      </c>
      <c r="AR11" s="12">
        <f>+Precios!AN9*Precios!AN$3</f>
        <v>0</v>
      </c>
      <c r="AS11" s="12">
        <f>+Precios!AO9*Precios!AO$3</f>
        <v>0</v>
      </c>
      <c r="AT11" s="12">
        <f>+Precios!AP9*Precios!AP$3</f>
        <v>0</v>
      </c>
      <c r="AU11" s="12">
        <f>+Precios!AQ9*Precios!AQ$3</f>
        <v>0</v>
      </c>
      <c r="AV11" s="12">
        <f>+Precios!AR9*Precios!AR$3</f>
        <v>0</v>
      </c>
      <c r="AW11" s="12">
        <f>+Precios!AS9*Precios!AS$3</f>
        <v>0</v>
      </c>
      <c r="AX11" s="12">
        <f>+Precios!AT9*Precios!AT$3</f>
        <v>0</v>
      </c>
      <c r="AY11" s="12">
        <f>+Precios!AU9*$AY$3</f>
        <v>0</v>
      </c>
      <c r="AZ11" s="12">
        <f>+Precios!AV9*Precios!AV$3</f>
        <v>0</v>
      </c>
      <c r="BA11" s="12">
        <f>+Precios!AW9*Precios!AW$3</f>
        <v>0</v>
      </c>
      <c r="BB11" s="12">
        <f>+Precios!AX9*Precios!AX$3</f>
        <v>0</v>
      </c>
      <c r="BC11" s="12">
        <f>+Precios!AY9*Precios!AY$3</f>
        <v>0</v>
      </c>
      <c r="BD11" s="12">
        <f>+Precios!AZ9*Precios!AZ$3</f>
        <v>0</v>
      </c>
      <c r="BE11" s="12">
        <f>+Precios!BA9*Precios!BA$3</f>
        <v>0</v>
      </c>
      <c r="BF11" s="12">
        <f>+Precios!BB9*Precios!BB$3</f>
        <v>0</v>
      </c>
      <c r="BG11" s="12">
        <f>+Precios!BC9*Precios!BC$3</f>
        <v>0</v>
      </c>
      <c r="BH11" s="12">
        <f>+Precios!BD9*$BH$3</f>
        <v>0</v>
      </c>
      <c r="BI11" s="12">
        <f>+Precios!BE9*Precios!BE$3</f>
        <v>0</v>
      </c>
      <c r="BJ11" s="12">
        <f>+Precios!BF9*Precios!BF$3</f>
        <v>0</v>
      </c>
      <c r="BK11" s="12">
        <f>+Precios!BG9*Precios!BG$3</f>
        <v>0</v>
      </c>
      <c r="BL11" s="12">
        <f>+Precios!BH9*Precios!BH$3</f>
        <v>0</v>
      </c>
      <c r="BM11" s="12">
        <f>+Precios!BI9*Precios!BI$3</f>
        <v>0</v>
      </c>
      <c r="BN11" s="12">
        <f>+Precios!BJ9*$BN$3</f>
        <v>0</v>
      </c>
      <c r="BO11" s="12">
        <f>+Precios!BK9*$BO$3</f>
        <v>0</v>
      </c>
      <c r="BP11" s="12">
        <f>+Precios!BL9*Precios!BL$3</f>
        <v>0</v>
      </c>
    </row>
    <row r="12" spans="1:77" ht="15" thickBot="1">
      <c r="A12" s="5">
        <f>+SUM(F12:XFD12)</f>
        <v>0</v>
      </c>
      <c r="B12" s="26"/>
      <c r="C12" s="5">
        <f t="shared" si="0"/>
        <v>0</v>
      </c>
      <c r="D12" s="5">
        <f>1000000+C12-Cost!A12</f>
        <v>1000000</v>
      </c>
      <c r="E12" s="15">
        <f>+Precios!A10</f>
        <v>45986</v>
      </c>
      <c r="F12" s="12">
        <f>+Precios!B10*Precios!B$3</f>
        <v>0</v>
      </c>
      <c r="G12" s="12">
        <f>+Precios!C10*Precios!C$3</f>
        <v>0</v>
      </c>
      <c r="H12" s="12">
        <f>+Precios!D10*Precios!D$3</f>
        <v>0</v>
      </c>
      <c r="I12" s="12">
        <f>+Precios!E10*Precios!E$3</f>
        <v>0</v>
      </c>
      <c r="J12" s="12">
        <f>+Precios!F10*Precios!F$3</f>
        <v>0</v>
      </c>
      <c r="K12" s="12">
        <f>+Precios!G10*Precios!G$3</f>
        <v>0</v>
      </c>
      <c r="L12" s="12">
        <f>+Precios!H10*Precios!H$3</f>
        <v>0</v>
      </c>
      <c r="M12" s="12">
        <f>+Precios!I10*Precios!I$3</f>
        <v>0</v>
      </c>
      <c r="N12" s="12">
        <f>+Precios!J10*Precios!J$3</f>
        <v>0</v>
      </c>
      <c r="O12" s="12">
        <f>+Precios!K10*Precios!K$3</f>
        <v>0</v>
      </c>
      <c r="P12" s="12">
        <f>+Precios!L10*Precios!L$3</f>
        <v>0</v>
      </c>
      <c r="Q12" s="12">
        <f>+Precios!M10*Precios!M$3</f>
        <v>0</v>
      </c>
      <c r="R12" s="12">
        <f>+Precios!N10*Precios!N$3</f>
        <v>0</v>
      </c>
      <c r="S12" s="12">
        <f>+Precios!O10*Precios!O$3</f>
        <v>0</v>
      </c>
      <c r="T12" s="12">
        <f>+Precios!P10*Precios!P$3</f>
        <v>0</v>
      </c>
      <c r="U12" s="12">
        <f>+Precios!Q10*Precios!Q$3</f>
        <v>0</v>
      </c>
      <c r="V12" s="12">
        <f>+Precios!R10*Precios!R$3</f>
        <v>0</v>
      </c>
      <c r="W12" s="12">
        <f>+Precios!S10*Precios!S$3</f>
        <v>0</v>
      </c>
      <c r="X12" s="12">
        <f>+Precios!T10*Precios!T$3</f>
        <v>0</v>
      </c>
      <c r="Y12" s="12">
        <f>+Precios!U10*Precios!U$3</f>
        <v>0</v>
      </c>
      <c r="Z12" s="12">
        <f>+Precios!V10*Precios!V$3</f>
        <v>0</v>
      </c>
      <c r="AA12" s="12">
        <f>+Precios!W10*Precios!W$3</f>
        <v>0</v>
      </c>
      <c r="AB12" s="12">
        <f>+Precios!X10*Precios!X$3</f>
        <v>0</v>
      </c>
      <c r="AC12" s="12">
        <f>+Precios!Y10*Precios!Y$3</f>
        <v>0</v>
      </c>
      <c r="AD12" s="12">
        <f>+Precios!Z10*Precios!Z$3</f>
        <v>0</v>
      </c>
      <c r="AE12" s="12">
        <f>+Precios!AA10*Precios!AA$3</f>
        <v>0</v>
      </c>
      <c r="AF12" s="12">
        <f>+Precios!AB10*Precios!AB$3</f>
        <v>0</v>
      </c>
      <c r="AG12" s="12">
        <f>+Precios!AC10*Precios!AC$3</f>
        <v>0</v>
      </c>
      <c r="AH12" s="12">
        <f>+Precios!AD10*Precios!AD$3</f>
        <v>0</v>
      </c>
      <c r="AI12" s="12">
        <f>+Precios!AE10*Precios!AE$3</f>
        <v>0</v>
      </c>
      <c r="AJ12" s="12">
        <f>+Precios!AF10*Precios!AF$3</f>
        <v>0</v>
      </c>
      <c r="AK12" s="12">
        <f>+Precios!AG10*Precios!AG$3</f>
        <v>0</v>
      </c>
      <c r="AL12" s="12">
        <f>+Precios!AH10*Precios!AH$3</f>
        <v>0</v>
      </c>
      <c r="AM12" s="12">
        <f>+Precios!AI10*Precios!AI$3</f>
        <v>0</v>
      </c>
      <c r="AN12" s="12">
        <f>+Precios!AJ10*Precios!AJ$3</f>
        <v>0</v>
      </c>
      <c r="AO12" s="12">
        <f>+Precios!AK10*Precios!AK$3</f>
        <v>0</v>
      </c>
      <c r="AP12" s="12">
        <f>+Precios!AL10*Precios!AL$3</f>
        <v>0</v>
      </c>
      <c r="AQ12" s="12">
        <f>+Precios!AM10*Precios!AM$3</f>
        <v>0</v>
      </c>
      <c r="AR12" s="12">
        <f>+Precios!AN10*Precios!AN$3</f>
        <v>0</v>
      </c>
      <c r="AS12" s="12">
        <f>+Precios!AO10*Precios!AO$3</f>
        <v>0</v>
      </c>
      <c r="AT12" s="12">
        <f>+Precios!AP10*Precios!AP$3</f>
        <v>0</v>
      </c>
      <c r="AU12" s="12">
        <f>+Precios!AQ10*Precios!AQ$3</f>
        <v>0</v>
      </c>
      <c r="AV12" s="12">
        <f>+Precios!AR10*Precios!AR$3</f>
        <v>0</v>
      </c>
      <c r="AW12" s="12">
        <f>+Precios!AS10*Precios!AS$3</f>
        <v>0</v>
      </c>
      <c r="AX12" s="12">
        <f>+Precios!AT10*Precios!AT$3</f>
        <v>0</v>
      </c>
      <c r="AY12" s="12">
        <f>+Precios!AU10*$AY$3</f>
        <v>0</v>
      </c>
      <c r="AZ12" s="12">
        <f>+Precios!AV10*Precios!AV$3</f>
        <v>0</v>
      </c>
      <c r="BA12" s="12">
        <f>+Precios!AW10*Precios!AW$3</f>
        <v>0</v>
      </c>
      <c r="BB12" s="12">
        <f>+Precios!AX10*Precios!AX$3</f>
        <v>0</v>
      </c>
      <c r="BC12" s="12">
        <f>+Precios!AY10*Precios!AY$3</f>
        <v>0</v>
      </c>
      <c r="BD12" s="12">
        <f>+Precios!AZ10*Precios!AZ$3</f>
        <v>0</v>
      </c>
      <c r="BE12" s="12">
        <f>+Precios!BA10*Precios!BA$3</f>
        <v>0</v>
      </c>
      <c r="BF12" s="12">
        <f>+Precios!BB10*Precios!BB$3</f>
        <v>0</v>
      </c>
      <c r="BG12" s="12">
        <f>+Precios!BC10*Precios!BC$3</f>
        <v>0</v>
      </c>
      <c r="BH12" s="12">
        <f>+Precios!BD10*$BH$3</f>
        <v>0</v>
      </c>
      <c r="BI12" s="12">
        <f>+Precios!BE10*Precios!BE$3</f>
        <v>0</v>
      </c>
      <c r="BJ12" s="12">
        <f>+Precios!BF10*Precios!BF$3</f>
        <v>0</v>
      </c>
      <c r="BK12" s="12">
        <f>+Precios!BG10*Precios!BG$3</f>
        <v>0</v>
      </c>
      <c r="BL12" s="12">
        <f>+Precios!BH10*Precios!BH$3</f>
        <v>0</v>
      </c>
      <c r="BM12" s="12">
        <f>+Precios!BI10*Precios!BI$3</f>
        <v>0</v>
      </c>
      <c r="BN12" s="12">
        <f>+Precios!BJ10*$BN$3</f>
        <v>0</v>
      </c>
      <c r="BO12" s="12">
        <f>+Precios!BK10*$BO$3</f>
        <v>0</v>
      </c>
      <c r="BP12" s="12">
        <f>+Precios!BL10*Precios!BL$3</f>
        <v>0</v>
      </c>
    </row>
    <row r="13" spans="1:77" ht="15" thickBot="1">
      <c r="A13" s="5">
        <f>+SUM(F13:XFD13)</f>
        <v>0</v>
      </c>
      <c r="B13" s="26"/>
      <c r="C13" s="5">
        <f t="shared" si="0"/>
        <v>0</v>
      </c>
      <c r="D13" s="5">
        <f>1000000+C13-Cost!A13</f>
        <v>1000000</v>
      </c>
      <c r="E13" s="15">
        <f>+Precios!A11</f>
        <v>45987</v>
      </c>
      <c r="F13" s="12">
        <f>+Precios!B11*Precios!B$3</f>
        <v>0</v>
      </c>
      <c r="G13" s="12">
        <f>+Precios!C11*Precios!C$3</f>
        <v>0</v>
      </c>
      <c r="H13" s="12">
        <f>+Precios!D11*Precios!D$3</f>
        <v>0</v>
      </c>
      <c r="I13" s="12">
        <f>+Precios!E11*Precios!E$3</f>
        <v>0</v>
      </c>
      <c r="J13" s="12">
        <f>+Precios!F11*Precios!F$3</f>
        <v>0</v>
      </c>
      <c r="K13" s="12">
        <f>+Precios!G11*Precios!G$3</f>
        <v>0</v>
      </c>
      <c r="L13" s="12">
        <f>+Precios!H11*Precios!H$3</f>
        <v>0</v>
      </c>
      <c r="M13" s="12">
        <f>+Precios!I11*Precios!I$3</f>
        <v>0</v>
      </c>
      <c r="N13" s="12">
        <f>+Precios!J11*Precios!J$3</f>
        <v>0</v>
      </c>
      <c r="O13" s="12">
        <f>+Precios!K11*Precios!K$3</f>
        <v>0</v>
      </c>
      <c r="P13" s="12">
        <f>+Precios!L11*Precios!L$3</f>
        <v>0</v>
      </c>
      <c r="Q13" s="12">
        <f>+Precios!M11*Precios!M$3</f>
        <v>0</v>
      </c>
      <c r="R13" s="12">
        <f>+Precios!N11*Precios!N$3</f>
        <v>0</v>
      </c>
      <c r="S13" s="12">
        <f>+Precios!O11*Precios!O$3</f>
        <v>0</v>
      </c>
      <c r="T13" s="12">
        <f>+Precios!P11*Precios!P$3</f>
        <v>0</v>
      </c>
      <c r="U13" s="12">
        <f>+Precios!Q11*Precios!Q$3</f>
        <v>0</v>
      </c>
      <c r="V13" s="12">
        <f>+Precios!R11*Precios!R$3</f>
        <v>0</v>
      </c>
      <c r="W13" s="12">
        <f>+Precios!S11*Precios!S$3</f>
        <v>0</v>
      </c>
      <c r="X13" s="12">
        <f>+Precios!T11*Precios!T$3</f>
        <v>0</v>
      </c>
      <c r="Y13" s="12">
        <f>+Precios!U11*Precios!U$3</f>
        <v>0</v>
      </c>
      <c r="Z13" s="12">
        <f>+Precios!V11*Precios!V$3</f>
        <v>0</v>
      </c>
      <c r="AA13" s="12">
        <f>+Precios!W11*Precios!W$3</f>
        <v>0</v>
      </c>
      <c r="AB13" s="12">
        <f>+Precios!X11*Precios!X$3</f>
        <v>0</v>
      </c>
      <c r="AC13" s="12">
        <f>+Precios!Y11*Precios!Y$3</f>
        <v>0</v>
      </c>
      <c r="AD13" s="12">
        <f>+Precios!Z11*Precios!Z$3</f>
        <v>0</v>
      </c>
      <c r="AE13" s="12">
        <f>+Precios!AA11*Precios!AA$3</f>
        <v>0</v>
      </c>
      <c r="AF13" s="12">
        <f>+Precios!AB11*Precios!AB$3</f>
        <v>0</v>
      </c>
      <c r="AG13" s="12">
        <f>+Precios!AC11*Precios!AC$3</f>
        <v>0</v>
      </c>
      <c r="AH13" s="12">
        <f>+Precios!AD11*Precios!AD$3</f>
        <v>0</v>
      </c>
      <c r="AI13" s="12">
        <f>+Precios!AE11*Precios!AE$3</f>
        <v>0</v>
      </c>
      <c r="AJ13" s="12">
        <f>+Precios!AF11*Precios!AF$3</f>
        <v>0</v>
      </c>
      <c r="AK13" s="12">
        <f>+Precios!AG11*Precios!AG$3</f>
        <v>0</v>
      </c>
      <c r="AL13" s="12">
        <f>+Precios!AH11*Precios!AH$3</f>
        <v>0</v>
      </c>
      <c r="AM13" s="12">
        <f>+Precios!AI11*Precios!AI$3</f>
        <v>0</v>
      </c>
      <c r="AN13" s="12">
        <f>+Precios!AJ11*Precios!AJ$3</f>
        <v>0</v>
      </c>
      <c r="AO13" s="12">
        <f>+Precios!AK11*Precios!AK$3</f>
        <v>0</v>
      </c>
      <c r="AP13" s="12">
        <f>+Precios!AL11*Precios!AL$3</f>
        <v>0</v>
      </c>
      <c r="AQ13" s="12">
        <f>+Precios!AM11*Precios!AM$3</f>
        <v>0</v>
      </c>
      <c r="AR13" s="12">
        <f>+Precios!AN11*Precios!AN$3</f>
        <v>0</v>
      </c>
      <c r="AS13" s="12">
        <f>+Precios!AO11*Precios!AO$3</f>
        <v>0</v>
      </c>
      <c r="AT13" s="12">
        <f>+Precios!AP11*Precios!AP$3</f>
        <v>0</v>
      </c>
      <c r="AU13" s="12">
        <f>+Precios!AQ11*Precios!AQ$3</f>
        <v>0</v>
      </c>
      <c r="AV13" s="12">
        <f>+Precios!AR11*Precios!AR$3</f>
        <v>0</v>
      </c>
      <c r="AW13" s="12">
        <f>+Precios!AS11*Precios!AS$3</f>
        <v>0</v>
      </c>
      <c r="AX13" s="12">
        <f>+Precios!AT11*Precios!AT$3</f>
        <v>0</v>
      </c>
      <c r="AY13" s="12">
        <f>+Precios!AU11*$AY$3</f>
        <v>0</v>
      </c>
      <c r="AZ13" s="12">
        <f>+Precios!AV11*Precios!AV$3</f>
        <v>0</v>
      </c>
      <c r="BA13" s="12">
        <f>+Precios!AW11*Precios!AW$3</f>
        <v>0</v>
      </c>
      <c r="BB13" s="12">
        <f>+Precios!AX11*Precios!AX$3</f>
        <v>0</v>
      </c>
      <c r="BC13" s="12">
        <f>+Precios!AY11*Precios!AY$3</f>
        <v>0</v>
      </c>
      <c r="BD13" s="12">
        <f>+Precios!AZ11*Precios!AZ$3</f>
        <v>0</v>
      </c>
      <c r="BE13" s="12">
        <f>+Precios!BA11*Precios!BA$3</f>
        <v>0</v>
      </c>
      <c r="BF13" s="12">
        <f>+Precios!BB11*Precios!BB$3</f>
        <v>0</v>
      </c>
      <c r="BG13" s="12">
        <f>+Precios!BC11*Precios!BC$3</f>
        <v>0</v>
      </c>
      <c r="BH13" s="12">
        <f>+Precios!BD11*$BH$3</f>
        <v>0</v>
      </c>
      <c r="BI13" s="12">
        <f>+Precios!BE11*Precios!BE$3</f>
        <v>0</v>
      </c>
      <c r="BJ13" s="12">
        <f>+Precios!BF11*Precios!BF$3</f>
        <v>0</v>
      </c>
      <c r="BK13" s="12">
        <f>+Precios!BG11*Precios!BG$3</f>
        <v>0</v>
      </c>
      <c r="BL13" s="12">
        <f>+Precios!BH11*Precios!BH$3</f>
        <v>0</v>
      </c>
      <c r="BM13" s="12">
        <f>+Precios!BI11*Precios!BI$3</f>
        <v>0</v>
      </c>
      <c r="BN13" s="12">
        <f>+Precios!BJ11*$BN$3</f>
        <v>0</v>
      </c>
      <c r="BO13" s="12">
        <f>+Precios!BK11*$BO$3</f>
        <v>0</v>
      </c>
      <c r="BP13" s="12">
        <f>+Precios!BL11*Precios!BL$3</f>
        <v>0</v>
      </c>
    </row>
    <row r="14" spans="1:77" ht="15" thickBot="1">
      <c r="A14" s="5">
        <f>+SUM(F14:XFD14)</f>
        <v>0</v>
      </c>
      <c r="B14" s="26"/>
      <c r="C14" s="5">
        <f t="shared" si="0"/>
        <v>0</v>
      </c>
      <c r="D14" s="5">
        <f>1000000+C14-Cost!A14</f>
        <v>1000000</v>
      </c>
      <c r="E14" s="15">
        <f>+Precios!A12</f>
        <v>45988</v>
      </c>
      <c r="F14" s="12">
        <f>+Precios!B12*Precios!B$3</f>
        <v>0</v>
      </c>
      <c r="G14" s="12">
        <f>+Precios!C12*Precios!C$3</f>
        <v>0</v>
      </c>
      <c r="H14" s="12">
        <f>+Precios!D12*Precios!D$3</f>
        <v>0</v>
      </c>
      <c r="I14" s="12">
        <f>+Precios!E12*Precios!E$3</f>
        <v>0</v>
      </c>
      <c r="J14" s="12">
        <f>+Precios!F12*Precios!F$3</f>
        <v>0</v>
      </c>
      <c r="K14" s="12">
        <f>+Precios!G12*Precios!G$3</f>
        <v>0</v>
      </c>
      <c r="L14" s="12">
        <f>+Precios!H12*Precios!H$3</f>
        <v>0</v>
      </c>
      <c r="M14" s="12">
        <f>+Precios!I12*Precios!I$3</f>
        <v>0</v>
      </c>
      <c r="N14" s="12">
        <f>+Precios!J12*Precios!J$3</f>
        <v>0</v>
      </c>
      <c r="O14" s="12">
        <f>+Precios!K12*Precios!K$3</f>
        <v>0</v>
      </c>
      <c r="P14" s="12">
        <f>+Precios!L12*Precios!L$3</f>
        <v>0</v>
      </c>
      <c r="Q14" s="12">
        <f>+Precios!M12*Precios!M$3</f>
        <v>0</v>
      </c>
      <c r="R14" s="12">
        <f>+Precios!N12*Precios!N$3</f>
        <v>0</v>
      </c>
      <c r="S14" s="12">
        <f>+Precios!O12*Precios!O$3</f>
        <v>0</v>
      </c>
      <c r="T14" s="12">
        <f>+Precios!P12*Precios!P$3</f>
        <v>0</v>
      </c>
      <c r="U14" s="12">
        <f>+Precios!Q12*Precios!Q$3</f>
        <v>0</v>
      </c>
      <c r="V14" s="12">
        <f>+Precios!R12*Precios!R$3</f>
        <v>0</v>
      </c>
      <c r="W14" s="12">
        <f>+Precios!S12*Precios!S$3</f>
        <v>0</v>
      </c>
      <c r="X14" s="12">
        <f>+Precios!T12*Precios!T$3</f>
        <v>0</v>
      </c>
      <c r="Y14" s="12">
        <f>+Precios!U12*Precios!U$3</f>
        <v>0</v>
      </c>
      <c r="Z14" s="12">
        <f>+Precios!V12*Precios!V$3</f>
        <v>0</v>
      </c>
      <c r="AA14" s="12">
        <f>+Precios!W12*Precios!W$3</f>
        <v>0</v>
      </c>
      <c r="AB14" s="12">
        <f>+Precios!X12*Precios!X$3</f>
        <v>0</v>
      </c>
      <c r="AC14" s="12">
        <f>+Precios!Y12*Precios!Y$3</f>
        <v>0</v>
      </c>
      <c r="AD14" s="12">
        <f>+Precios!Z12*Precios!Z$3</f>
        <v>0</v>
      </c>
      <c r="AE14" s="12">
        <f>+Precios!AA12*Precios!AA$3</f>
        <v>0</v>
      </c>
      <c r="AF14" s="12">
        <f>+Precios!AB12*Precios!AB$3</f>
        <v>0</v>
      </c>
      <c r="AG14" s="12">
        <f>+Precios!AC12*Precios!AC$3</f>
        <v>0</v>
      </c>
      <c r="AH14" s="12">
        <f>+Precios!AD12*Precios!AD$3</f>
        <v>0</v>
      </c>
      <c r="AI14" s="12">
        <f>+Precios!AE12*Precios!AE$3</f>
        <v>0</v>
      </c>
      <c r="AJ14" s="12">
        <f>+Precios!AF12*Precios!AF$3</f>
        <v>0</v>
      </c>
      <c r="AK14" s="12">
        <f>+Precios!AG12*Precios!AG$3</f>
        <v>0</v>
      </c>
      <c r="AL14" s="12">
        <f>+Precios!AH12*Precios!AH$3</f>
        <v>0</v>
      </c>
      <c r="AM14" s="12">
        <f>+Precios!AI12*Precios!AI$3</f>
        <v>0</v>
      </c>
      <c r="AN14" s="12">
        <f>+Precios!AJ12*Precios!AJ$3</f>
        <v>0</v>
      </c>
      <c r="AO14" s="12">
        <f>+Precios!AK12*Precios!AK$3</f>
        <v>0</v>
      </c>
      <c r="AP14" s="12">
        <f>+Precios!AL12*Precios!AL$3</f>
        <v>0</v>
      </c>
      <c r="AQ14" s="12">
        <f>+Precios!AM12*Precios!AM$3</f>
        <v>0</v>
      </c>
      <c r="AR14" s="12">
        <f>+Precios!AN12*Precios!AN$3</f>
        <v>0</v>
      </c>
      <c r="AS14" s="12">
        <f>+Precios!AO12*Precios!AO$3</f>
        <v>0</v>
      </c>
      <c r="AT14" s="12">
        <f>+Precios!AP12*Precios!AP$3</f>
        <v>0</v>
      </c>
      <c r="AU14" s="12">
        <f>+Precios!AQ12*Precios!AQ$3</f>
        <v>0</v>
      </c>
      <c r="AV14" s="12">
        <f>+Precios!AR12*Precios!AR$3</f>
        <v>0</v>
      </c>
      <c r="AW14" s="12">
        <f>+Precios!AS12*Precios!AS$3</f>
        <v>0</v>
      </c>
      <c r="AX14" s="12">
        <f>+Precios!AT12*Precios!AT$3</f>
        <v>0</v>
      </c>
      <c r="AY14" s="12">
        <f>+Precios!AU12*$AY$3</f>
        <v>0</v>
      </c>
      <c r="AZ14" s="12">
        <f>+Precios!AV12*Precios!AV$3</f>
        <v>0</v>
      </c>
      <c r="BA14" s="12">
        <f>+Precios!AW12*Precios!AW$3</f>
        <v>0</v>
      </c>
      <c r="BB14" s="12">
        <f>+Precios!AX12*Precios!AX$3</f>
        <v>0</v>
      </c>
      <c r="BC14" s="12">
        <f>+Precios!AY12*Precios!AY$3</f>
        <v>0</v>
      </c>
      <c r="BD14" s="12">
        <f>+Precios!AZ12*Precios!AZ$3</f>
        <v>0</v>
      </c>
      <c r="BE14" s="12">
        <f>+Precios!BA12*Precios!BA$3</f>
        <v>0</v>
      </c>
      <c r="BF14" s="12">
        <f>+Precios!BB12*Precios!BB$3</f>
        <v>0</v>
      </c>
      <c r="BG14" s="12">
        <f>+Precios!BC12*Precios!BC$3</f>
        <v>0</v>
      </c>
      <c r="BH14" s="12">
        <f>+Precios!BD12*$BH$3</f>
        <v>0</v>
      </c>
      <c r="BI14" s="12">
        <f>+Precios!BE12*Precios!BE$3</f>
        <v>0</v>
      </c>
      <c r="BJ14" s="12">
        <f>+Precios!BF12*Precios!BF$3</f>
        <v>0</v>
      </c>
      <c r="BK14" s="12">
        <f>+Precios!BG12*Precios!BG$3</f>
        <v>0</v>
      </c>
      <c r="BL14" s="12">
        <f>+Precios!BH12*Precios!BH$3</f>
        <v>0</v>
      </c>
      <c r="BM14" s="12">
        <f>+Precios!BI12*Precios!BI$3</f>
        <v>0</v>
      </c>
      <c r="BN14" s="12">
        <f>+Precios!BJ12*$BN$3</f>
        <v>0</v>
      </c>
      <c r="BO14" s="12">
        <f>+Precios!BK12*$BO$3</f>
        <v>0</v>
      </c>
      <c r="BP14" s="12">
        <f>+Precios!BL12*Precios!BL$3</f>
        <v>0</v>
      </c>
    </row>
    <row r="15" spans="1:77" ht="15" thickBot="1">
      <c r="A15" s="5">
        <f>+SUM(F15:XFD15)</f>
        <v>0</v>
      </c>
      <c r="B15" s="26"/>
      <c r="C15" s="5">
        <f t="shared" si="0"/>
        <v>0</v>
      </c>
      <c r="D15" s="5">
        <f>1000000+C15-Cost!A15</f>
        <v>1000000</v>
      </c>
      <c r="E15" s="15">
        <f>+Precios!A13</f>
        <v>45989</v>
      </c>
      <c r="F15" s="12">
        <f>+Precios!B13*Precios!B$3</f>
        <v>0</v>
      </c>
      <c r="G15" s="12">
        <f>+Precios!C13*Precios!C$3</f>
        <v>0</v>
      </c>
      <c r="H15" s="12">
        <f>+Precios!D13*Precios!D$3</f>
        <v>0</v>
      </c>
      <c r="I15" s="12">
        <f>+Precios!E13*Precios!E$3</f>
        <v>0</v>
      </c>
      <c r="J15" s="12">
        <f>+Precios!F13*Precios!F$3</f>
        <v>0</v>
      </c>
      <c r="K15" s="12">
        <f>+Precios!G13*Precios!G$3</f>
        <v>0</v>
      </c>
      <c r="L15" s="12">
        <f>+Precios!H13*Precios!H$3</f>
        <v>0</v>
      </c>
      <c r="M15" s="12">
        <f>+Precios!I13*Precios!I$3</f>
        <v>0</v>
      </c>
      <c r="N15" s="12">
        <f>+Precios!J13*Precios!J$3</f>
        <v>0</v>
      </c>
      <c r="O15" s="12">
        <f>+Precios!K13*Precios!K$3</f>
        <v>0</v>
      </c>
      <c r="P15" s="12">
        <f>+Precios!L13*Precios!L$3</f>
        <v>0</v>
      </c>
      <c r="Q15" s="12">
        <f>+Precios!M13*Precios!M$3</f>
        <v>0</v>
      </c>
      <c r="R15" s="12">
        <f>+Precios!N13*Precios!N$3</f>
        <v>0</v>
      </c>
      <c r="S15" s="12">
        <f>+Precios!O13*Precios!O$3</f>
        <v>0</v>
      </c>
      <c r="T15" s="12">
        <f>+Precios!P13*Precios!P$3</f>
        <v>0</v>
      </c>
      <c r="U15" s="12">
        <f>+Precios!Q13*Precios!Q$3</f>
        <v>0</v>
      </c>
      <c r="V15" s="12">
        <f>+Precios!R13*Precios!R$3</f>
        <v>0</v>
      </c>
      <c r="W15" s="12">
        <f>+Precios!S13*Precios!S$3</f>
        <v>0</v>
      </c>
      <c r="X15" s="12">
        <f>+Precios!T13*Precios!T$3</f>
        <v>0</v>
      </c>
      <c r="Y15" s="12">
        <f>+Precios!U13*Precios!U$3</f>
        <v>0</v>
      </c>
      <c r="Z15" s="12">
        <f>+Precios!V13*Precios!V$3</f>
        <v>0</v>
      </c>
      <c r="AA15" s="12">
        <f>+Precios!W13*Precios!W$3</f>
        <v>0</v>
      </c>
      <c r="AB15" s="12">
        <f>+Precios!X13*Precios!X$3</f>
        <v>0</v>
      </c>
      <c r="AC15" s="12">
        <f>+Precios!Y13*Precios!Y$3</f>
        <v>0</v>
      </c>
      <c r="AD15" s="12">
        <f>+Precios!Z13*Precios!Z$3</f>
        <v>0</v>
      </c>
      <c r="AE15" s="12">
        <f>+Precios!AA13*Precios!AA$3</f>
        <v>0</v>
      </c>
      <c r="AF15" s="12">
        <f>+Precios!AB13*Precios!AB$3</f>
        <v>0</v>
      </c>
      <c r="AG15" s="12">
        <f>+Precios!AC13*Precios!AC$3</f>
        <v>0</v>
      </c>
      <c r="AH15" s="12">
        <f>+Precios!AD13*Precios!AD$3</f>
        <v>0</v>
      </c>
      <c r="AI15" s="12">
        <f>+Precios!AE13*Precios!AE$3</f>
        <v>0</v>
      </c>
      <c r="AJ15" s="12">
        <f>+Precios!AF13*Precios!AF$3</f>
        <v>0</v>
      </c>
      <c r="AK15" s="12">
        <f>+Precios!AG13*Precios!AG$3</f>
        <v>0</v>
      </c>
      <c r="AL15" s="12">
        <f>+Precios!AH13*Precios!AH$3</f>
        <v>0</v>
      </c>
      <c r="AM15" s="12">
        <f>+Precios!AI13*Precios!AI$3</f>
        <v>0</v>
      </c>
      <c r="AN15" s="12">
        <f>+Precios!AJ13*Precios!AJ$3</f>
        <v>0</v>
      </c>
      <c r="AO15" s="12">
        <f>+Precios!AK13*Precios!AK$3</f>
        <v>0</v>
      </c>
      <c r="AP15" s="12">
        <f>+Precios!AL13*Precios!AL$3</f>
        <v>0</v>
      </c>
      <c r="AQ15" s="12">
        <f>+Precios!AM13*Precios!AM$3</f>
        <v>0</v>
      </c>
      <c r="AR15" s="12">
        <f>+Precios!AN13*Precios!AN$3</f>
        <v>0</v>
      </c>
      <c r="AS15" s="12">
        <f>+Precios!AO13*Precios!AO$3</f>
        <v>0</v>
      </c>
      <c r="AT15" s="12">
        <f>+Precios!AP13*Precios!AP$3</f>
        <v>0</v>
      </c>
      <c r="AU15" s="12">
        <f>+Precios!AQ13*Precios!AQ$3</f>
        <v>0</v>
      </c>
      <c r="AV15" s="12">
        <f>+Precios!AR13*Precios!AR$3</f>
        <v>0</v>
      </c>
      <c r="AW15" s="12">
        <f>+Precios!AS13*Precios!AS$3</f>
        <v>0</v>
      </c>
      <c r="AX15" s="12">
        <f>+Precios!AT13*Precios!AT$3</f>
        <v>0</v>
      </c>
      <c r="AY15" s="12">
        <f>+Precios!AU13*$AY$3</f>
        <v>0</v>
      </c>
      <c r="AZ15" s="12">
        <f>+Precios!AV13*Precios!AV$3</f>
        <v>0</v>
      </c>
      <c r="BA15" s="12">
        <f>+Precios!AW13*Precios!AW$3</f>
        <v>0</v>
      </c>
      <c r="BB15" s="12">
        <f>+Precios!AX13*Precios!AX$3</f>
        <v>0</v>
      </c>
      <c r="BC15" s="12">
        <f>+Precios!AY13*Precios!AY$3</f>
        <v>0</v>
      </c>
      <c r="BD15" s="12">
        <f>+Precios!AZ13*Precios!AZ$3</f>
        <v>0</v>
      </c>
      <c r="BE15" s="12">
        <f>+Precios!BA13*Precios!BA$3</f>
        <v>0</v>
      </c>
      <c r="BF15" s="12">
        <f>+Precios!BB13*Precios!BB$3</f>
        <v>0</v>
      </c>
      <c r="BG15" s="12">
        <f>+Precios!BC13*Precios!BC$3</f>
        <v>0</v>
      </c>
      <c r="BH15" s="12">
        <f>+Precios!BD13*$BH$3</f>
        <v>0</v>
      </c>
      <c r="BI15" s="12">
        <f>+Precios!BE13*Precios!BE$3</f>
        <v>0</v>
      </c>
      <c r="BJ15" s="12">
        <f>+Precios!BF13*Precios!BF$3</f>
        <v>0</v>
      </c>
      <c r="BK15" s="12">
        <f>+Precios!BG13*Precios!BG$3</f>
        <v>0</v>
      </c>
      <c r="BL15" s="12">
        <f>+Precios!BH13*Precios!BH$3</f>
        <v>0</v>
      </c>
      <c r="BM15" s="12">
        <f>+Precios!BI13*Precios!BI$3</f>
        <v>0</v>
      </c>
      <c r="BN15" s="12">
        <f>+Precios!BJ13*$BN$3</f>
        <v>0</v>
      </c>
      <c r="BO15" s="12">
        <f>+Precios!BK13*$BO$3</f>
        <v>0</v>
      </c>
      <c r="BP15" s="12">
        <f>+Precios!BL13*Precios!BL$3</f>
        <v>0</v>
      </c>
    </row>
    <row r="16" spans="1:77" ht="15" thickBot="1">
      <c r="A16" s="5">
        <f>+SUM(F16:XFD16)</f>
        <v>0</v>
      </c>
      <c r="B16" s="26"/>
      <c r="C16" s="5">
        <f t="shared" si="0"/>
        <v>0</v>
      </c>
      <c r="D16" s="5">
        <f>1000000+C16-Cost!A16</f>
        <v>1000000</v>
      </c>
      <c r="E16" s="15">
        <f>+Precios!A14</f>
        <v>45992</v>
      </c>
      <c r="F16" s="12">
        <f>+Precios!B14*Precios!B$3</f>
        <v>0</v>
      </c>
      <c r="G16" s="12">
        <f>+Precios!C14*Precios!C$3</f>
        <v>0</v>
      </c>
      <c r="H16" s="12">
        <f>+Precios!D14*Precios!D$3</f>
        <v>0</v>
      </c>
      <c r="I16" s="12">
        <f>+Precios!E14*Precios!E$3</f>
        <v>0</v>
      </c>
      <c r="J16" s="12">
        <f>+Precios!F14*Precios!F$3</f>
        <v>0</v>
      </c>
      <c r="K16" s="12">
        <f>+Precios!G14*Precios!G$3</f>
        <v>0</v>
      </c>
      <c r="L16" s="12">
        <f>+Precios!H14*Precios!H$3</f>
        <v>0</v>
      </c>
      <c r="M16" s="12">
        <f>+Precios!I14*Precios!I$3</f>
        <v>0</v>
      </c>
      <c r="N16" s="12">
        <f>+Precios!J14*Precios!J$3</f>
        <v>0</v>
      </c>
      <c r="O16" s="12">
        <f>+Precios!K14*Precios!K$3</f>
        <v>0</v>
      </c>
      <c r="P16" s="12">
        <f>+Precios!L14*Precios!L$3</f>
        <v>0</v>
      </c>
      <c r="Q16" s="12">
        <f>+Precios!M14*Precios!M$3</f>
        <v>0</v>
      </c>
      <c r="R16" s="12">
        <f>+Precios!N14*Precios!N$3</f>
        <v>0</v>
      </c>
      <c r="S16" s="12">
        <f>+Precios!O14*Precios!O$3</f>
        <v>0</v>
      </c>
      <c r="T16" s="12">
        <f>+Precios!P14*Precios!P$3</f>
        <v>0</v>
      </c>
      <c r="U16" s="12">
        <f>+Precios!Q14*Precios!Q$3</f>
        <v>0</v>
      </c>
      <c r="V16" s="12">
        <f>+Precios!R14*Precios!R$3</f>
        <v>0</v>
      </c>
      <c r="W16" s="12">
        <f>+Precios!S14*Precios!S$3</f>
        <v>0</v>
      </c>
      <c r="X16" s="12">
        <f>+Precios!T14*Precios!T$3</f>
        <v>0</v>
      </c>
      <c r="Y16" s="12">
        <f>+Precios!U14*Precios!U$3</f>
        <v>0</v>
      </c>
      <c r="Z16" s="12">
        <f>+Precios!V14*Precios!V$3</f>
        <v>0</v>
      </c>
      <c r="AA16" s="12">
        <f>+Precios!W14*Precios!W$3</f>
        <v>0</v>
      </c>
      <c r="AB16" s="12">
        <f>+Precios!X14*Precios!X$3</f>
        <v>0</v>
      </c>
      <c r="AC16" s="12">
        <f>+Precios!Y14*Precios!Y$3</f>
        <v>0</v>
      </c>
      <c r="AD16" s="12">
        <f>+Precios!Z14*Precios!Z$3</f>
        <v>0</v>
      </c>
      <c r="AE16" s="12">
        <f>+Precios!AA14*Precios!AA$3</f>
        <v>0</v>
      </c>
      <c r="AF16" s="12">
        <f>+Precios!AB14*Precios!AB$3</f>
        <v>0</v>
      </c>
      <c r="AG16" s="12">
        <f>+Precios!AC14*Precios!AC$3</f>
        <v>0</v>
      </c>
      <c r="AH16" s="12">
        <f>+Precios!AD14*Precios!AD$3</f>
        <v>0</v>
      </c>
      <c r="AI16" s="12">
        <f>+Precios!AE14*Precios!AE$3</f>
        <v>0</v>
      </c>
      <c r="AJ16" s="12">
        <f>+Precios!AF14*Precios!AF$3</f>
        <v>0</v>
      </c>
      <c r="AK16" s="12">
        <f>+Precios!AG14*Precios!AG$3</f>
        <v>0</v>
      </c>
      <c r="AL16" s="12">
        <f>+Precios!AH14*Precios!AH$3</f>
        <v>0</v>
      </c>
      <c r="AM16" s="12">
        <f>+Precios!AI14*Precios!AI$3</f>
        <v>0</v>
      </c>
      <c r="AN16" s="12">
        <f>+Precios!AJ14*Precios!AJ$3</f>
        <v>0</v>
      </c>
      <c r="AO16" s="12">
        <f>+Precios!AK14*Precios!AK$3</f>
        <v>0</v>
      </c>
      <c r="AP16" s="12">
        <f>+Precios!AL14*Precios!AL$3</f>
        <v>0</v>
      </c>
      <c r="AQ16" s="12">
        <f>+Precios!AM14*Precios!AM$3</f>
        <v>0</v>
      </c>
      <c r="AR16" s="12">
        <f>+Precios!AN14*Precios!AN$3</f>
        <v>0</v>
      </c>
      <c r="AS16" s="12">
        <f>+Precios!AO14*Precios!AO$3</f>
        <v>0</v>
      </c>
      <c r="AT16" s="12">
        <f>+Precios!AP14*Precios!AP$3</f>
        <v>0</v>
      </c>
      <c r="AU16" s="12">
        <f>+Precios!AQ14*Precios!AQ$3</f>
        <v>0</v>
      </c>
      <c r="AV16" s="12">
        <f>+Precios!AR14*Precios!AR$3</f>
        <v>0</v>
      </c>
      <c r="AW16" s="12">
        <f>+Precios!AS14*Precios!AS$3</f>
        <v>0</v>
      </c>
      <c r="AX16" s="12">
        <f>+Precios!AT14*Precios!AT$3</f>
        <v>0</v>
      </c>
      <c r="AY16" s="12">
        <f>+Precios!AU14*$AY$3</f>
        <v>0</v>
      </c>
      <c r="AZ16" s="12">
        <f>+Precios!AV14*Precios!AV$3</f>
        <v>0</v>
      </c>
      <c r="BA16" s="12">
        <f>+Precios!AW14*Precios!AW$3</f>
        <v>0</v>
      </c>
      <c r="BB16" s="12">
        <f>+Precios!AX14*Precios!AX$3</f>
        <v>0</v>
      </c>
      <c r="BC16" s="12">
        <f>+Precios!AY14*Precios!AY$3</f>
        <v>0</v>
      </c>
      <c r="BD16" s="12">
        <f>+Precios!AZ14*Precios!AZ$3</f>
        <v>0</v>
      </c>
      <c r="BE16" s="12">
        <f>+Precios!BA14*Precios!BA$3</f>
        <v>0</v>
      </c>
      <c r="BF16" s="12">
        <f>+Precios!BB14*Precios!BB$3</f>
        <v>0</v>
      </c>
      <c r="BG16" s="12">
        <f>+Precios!BC14*Precios!BC$3</f>
        <v>0</v>
      </c>
      <c r="BH16" s="12">
        <f>+Precios!BD14*$BH$3</f>
        <v>0</v>
      </c>
      <c r="BI16" s="12">
        <f>+Precios!BE14*Precios!BE$3</f>
        <v>0</v>
      </c>
      <c r="BJ16" s="12">
        <f>+Precios!BF14*Precios!BF$3</f>
        <v>0</v>
      </c>
      <c r="BK16" s="12">
        <f>+Precios!BG14*Precios!BG$3</f>
        <v>0</v>
      </c>
      <c r="BL16" s="12">
        <f>+Precios!BH14*Precios!BH$3</f>
        <v>0</v>
      </c>
      <c r="BM16" s="12">
        <f>+Precios!BI14*Precios!BI$3</f>
        <v>0</v>
      </c>
      <c r="BN16" s="12">
        <f>+Precios!BJ14*$BN$3</f>
        <v>0</v>
      </c>
      <c r="BO16" s="12">
        <f>+Precios!BK14*$BO$3</f>
        <v>0</v>
      </c>
      <c r="BP16" s="12">
        <f>+Precios!BL14*Precios!BL$3</f>
        <v>0</v>
      </c>
    </row>
    <row r="17" spans="1:68" ht="15" thickBot="1">
      <c r="A17" s="5">
        <f>+SUM(F17:XFD17)</f>
        <v>0</v>
      </c>
      <c r="B17" s="26"/>
      <c r="C17" s="5">
        <f t="shared" si="0"/>
        <v>0</v>
      </c>
      <c r="D17" s="5">
        <f>1000000+C17-Cost!A17</f>
        <v>1000000</v>
      </c>
      <c r="E17" s="15">
        <f>+Precios!A15</f>
        <v>45993</v>
      </c>
      <c r="F17" s="12">
        <f>+Precios!B15*Precios!B$3</f>
        <v>0</v>
      </c>
      <c r="G17" s="12">
        <f>+Precios!C15*Precios!C$3</f>
        <v>0</v>
      </c>
      <c r="H17" s="12">
        <f>+Precios!D15*Precios!D$3</f>
        <v>0</v>
      </c>
      <c r="I17" s="12">
        <f>+Precios!E15*Precios!E$3</f>
        <v>0</v>
      </c>
      <c r="J17" s="12">
        <f>+Precios!F15*Precios!F$3</f>
        <v>0</v>
      </c>
      <c r="K17" s="12">
        <f>+Precios!G15*Precios!G$3</f>
        <v>0</v>
      </c>
      <c r="L17" s="12">
        <f>+Precios!H15*Precios!H$3</f>
        <v>0</v>
      </c>
      <c r="M17" s="12">
        <f>+Precios!I15*Precios!I$3</f>
        <v>0</v>
      </c>
      <c r="N17" s="12">
        <f>+Precios!J15*Precios!J$3</f>
        <v>0</v>
      </c>
      <c r="O17" s="12">
        <f>+Precios!K15*Precios!K$3</f>
        <v>0</v>
      </c>
      <c r="P17" s="12">
        <f>+Precios!L15*Precios!L$3</f>
        <v>0</v>
      </c>
      <c r="Q17" s="12">
        <f>+Precios!M15*Precios!M$3</f>
        <v>0</v>
      </c>
      <c r="R17" s="12">
        <f>+Precios!N15*Precios!N$3</f>
        <v>0</v>
      </c>
      <c r="S17" s="12">
        <f>+Precios!O15*Precios!O$3</f>
        <v>0</v>
      </c>
      <c r="T17" s="12">
        <f>+Precios!P15*Precios!P$3</f>
        <v>0</v>
      </c>
      <c r="U17" s="12">
        <f>+Precios!Q15*Precios!Q$3</f>
        <v>0</v>
      </c>
      <c r="V17" s="12">
        <f>+Precios!R15*Precios!R$3</f>
        <v>0</v>
      </c>
      <c r="W17" s="12">
        <f>+Precios!S15*Precios!S$3</f>
        <v>0</v>
      </c>
      <c r="X17" s="12">
        <f>+Precios!T15*Precios!T$3</f>
        <v>0</v>
      </c>
      <c r="Y17" s="12">
        <f>+Precios!U15*Precios!U$3</f>
        <v>0</v>
      </c>
      <c r="Z17" s="12">
        <f>+Precios!V15*Precios!V$3</f>
        <v>0</v>
      </c>
      <c r="AA17" s="12">
        <f>+Precios!W15*Precios!W$3</f>
        <v>0</v>
      </c>
      <c r="AB17" s="12">
        <f>+Precios!X15*Precios!X$3</f>
        <v>0</v>
      </c>
      <c r="AC17" s="12">
        <f>+Precios!Y15*Precios!Y$3</f>
        <v>0</v>
      </c>
      <c r="AD17" s="12">
        <f>+Precios!Z15*Precios!Z$3</f>
        <v>0</v>
      </c>
      <c r="AE17" s="12">
        <f>+Precios!AA15*Precios!AA$3</f>
        <v>0</v>
      </c>
      <c r="AF17" s="12">
        <f>+Precios!AB15*Precios!AB$3</f>
        <v>0</v>
      </c>
      <c r="AG17" s="12">
        <f>+Precios!AC15*Precios!AC$3</f>
        <v>0</v>
      </c>
      <c r="AH17" s="12">
        <f>+Precios!AD15*Precios!AD$3</f>
        <v>0</v>
      </c>
      <c r="AI17" s="12">
        <f>+Precios!AE15*Precios!AE$3</f>
        <v>0</v>
      </c>
      <c r="AJ17" s="12">
        <f>+Precios!AF15*Precios!AF$3</f>
        <v>0</v>
      </c>
      <c r="AK17" s="12">
        <f>+Precios!AG15*Precios!AG$3</f>
        <v>0</v>
      </c>
      <c r="AL17" s="12">
        <f>+Precios!AH15*Precios!AH$3</f>
        <v>0</v>
      </c>
      <c r="AM17" s="12">
        <f>+Precios!AI15*Precios!AI$3</f>
        <v>0</v>
      </c>
      <c r="AN17" s="12">
        <f>+Precios!AJ15*Precios!AJ$3</f>
        <v>0</v>
      </c>
      <c r="AO17" s="12">
        <f>+Precios!AK15*Precios!AK$3</f>
        <v>0</v>
      </c>
      <c r="AP17" s="12">
        <f>+Precios!AL15*Precios!AL$3</f>
        <v>0</v>
      </c>
      <c r="AQ17" s="12">
        <f>+Precios!AM15*Precios!AM$3</f>
        <v>0</v>
      </c>
      <c r="AR17" s="12">
        <f>+Precios!AN15*Precios!AN$3</f>
        <v>0</v>
      </c>
      <c r="AS17" s="12">
        <f>+Precios!AO15*Precios!AO$3</f>
        <v>0</v>
      </c>
      <c r="AT17" s="12">
        <f>+Precios!AP15*Precios!AP$3</f>
        <v>0</v>
      </c>
      <c r="AU17" s="12">
        <f>+Precios!AQ15*Precios!AQ$3</f>
        <v>0</v>
      </c>
      <c r="AV17" s="12">
        <f>+Precios!AR15*Precios!AR$3</f>
        <v>0</v>
      </c>
      <c r="AW17" s="12">
        <f>+Precios!AS15*Precios!AS$3</f>
        <v>0</v>
      </c>
      <c r="AX17" s="12">
        <f>+Precios!AT15*Precios!AT$3</f>
        <v>0</v>
      </c>
      <c r="AY17" s="12">
        <f>+Precios!AU15*$AY$3</f>
        <v>0</v>
      </c>
      <c r="AZ17" s="12">
        <f>+Precios!AV15*Precios!AV$3</f>
        <v>0</v>
      </c>
      <c r="BA17" s="12">
        <f>+Precios!AW15*Precios!AW$3</f>
        <v>0</v>
      </c>
      <c r="BB17" s="12">
        <f>+Precios!AX15*Precios!AX$3</f>
        <v>0</v>
      </c>
      <c r="BC17" s="12">
        <f>+Precios!AY15*Precios!AY$3</f>
        <v>0</v>
      </c>
      <c r="BD17" s="12">
        <f>+Precios!AZ15*Precios!AZ$3</f>
        <v>0</v>
      </c>
      <c r="BE17" s="12">
        <f>+Precios!BA15*Precios!BA$3</f>
        <v>0</v>
      </c>
      <c r="BF17" s="12">
        <f>+Precios!BB15*Precios!BB$3</f>
        <v>0</v>
      </c>
      <c r="BG17" s="12">
        <f>+Precios!BC15*Precios!BC$3</f>
        <v>0</v>
      </c>
      <c r="BH17" s="12">
        <f>+Precios!BD15*$BH$3</f>
        <v>0</v>
      </c>
      <c r="BI17" s="12">
        <f>+Precios!BE15*Precios!BE$3</f>
        <v>0</v>
      </c>
      <c r="BJ17" s="12">
        <f>+Precios!BF15*Precios!BF$3</f>
        <v>0</v>
      </c>
      <c r="BK17" s="12">
        <f>+Precios!BG15*Precios!BG$3</f>
        <v>0</v>
      </c>
      <c r="BL17" s="12">
        <f>+Precios!BH15*Precios!BH$3</f>
        <v>0</v>
      </c>
      <c r="BM17" s="12">
        <f>+Precios!BI15*Precios!BI$3</f>
        <v>0</v>
      </c>
      <c r="BN17" s="12">
        <f>+Precios!BJ15*$BN$3</f>
        <v>0</v>
      </c>
      <c r="BO17" s="12">
        <f>+Precios!BK15*$BO$3</f>
        <v>0</v>
      </c>
      <c r="BP17" s="12">
        <f>+Precios!BL15*Precios!BL$3</f>
        <v>0</v>
      </c>
    </row>
    <row r="18" spans="1:68" ht="15" thickBot="1">
      <c r="A18" s="5">
        <f>+SUM(F18:XFD18)</f>
        <v>0</v>
      </c>
      <c r="B18" s="26"/>
      <c r="C18" s="5">
        <f t="shared" si="0"/>
        <v>0</v>
      </c>
      <c r="D18" s="5">
        <f>1000000+C18-Cost!A18</f>
        <v>1000000</v>
      </c>
      <c r="E18" s="15">
        <f>+Precios!A16</f>
        <v>45994</v>
      </c>
      <c r="F18" s="12">
        <f>+Precios!B16*Precios!B$3</f>
        <v>0</v>
      </c>
      <c r="G18" s="12">
        <f>+Precios!C16*Precios!C$3</f>
        <v>0</v>
      </c>
      <c r="H18" s="12">
        <f>+Precios!D16*Precios!D$3</f>
        <v>0</v>
      </c>
      <c r="I18" s="12">
        <f>+Precios!E16*Precios!E$3</f>
        <v>0</v>
      </c>
      <c r="J18" s="12">
        <f>+Precios!F16*Precios!F$3</f>
        <v>0</v>
      </c>
      <c r="K18" s="12">
        <f>+Precios!G16*Precios!G$3</f>
        <v>0</v>
      </c>
      <c r="L18" s="12">
        <f>+Precios!H16*Precios!H$3</f>
        <v>0</v>
      </c>
      <c r="M18" s="12">
        <f>+Precios!I16*Precios!I$3</f>
        <v>0</v>
      </c>
      <c r="N18" s="12">
        <f>+Precios!J16*Precios!J$3</f>
        <v>0</v>
      </c>
      <c r="O18" s="12">
        <f>+Precios!K16*Precios!K$3</f>
        <v>0</v>
      </c>
      <c r="P18" s="12">
        <f>+Precios!L16*Precios!L$3</f>
        <v>0</v>
      </c>
      <c r="Q18" s="12">
        <f>+Precios!M16*Precios!M$3</f>
        <v>0</v>
      </c>
      <c r="R18" s="12">
        <f>+Precios!N16*Precios!N$3</f>
        <v>0</v>
      </c>
      <c r="S18" s="12">
        <f>+Precios!O16*Precios!O$3</f>
        <v>0</v>
      </c>
      <c r="T18" s="12">
        <f>+Precios!P16*Precios!P$3</f>
        <v>0</v>
      </c>
      <c r="U18" s="12">
        <f>+Precios!Q16*Precios!Q$3</f>
        <v>0</v>
      </c>
      <c r="V18" s="12">
        <f>+Precios!R16*Precios!R$3</f>
        <v>0</v>
      </c>
      <c r="W18" s="12">
        <f>+Precios!S16*Precios!S$3</f>
        <v>0</v>
      </c>
      <c r="X18" s="12">
        <f>+Precios!T16*Precios!T$3</f>
        <v>0</v>
      </c>
      <c r="Y18" s="12">
        <f>+Precios!U16*Precios!U$3</f>
        <v>0</v>
      </c>
      <c r="Z18" s="12">
        <f>+Precios!V16*Precios!V$3</f>
        <v>0</v>
      </c>
      <c r="AA18" s="12">
        <f>+Precios!W16*Precios!W$3</f>
        <v>0</v>
      </c>
      <c r="AB18" s="12">
        <f>+Precios!X16*Precios!X$3</f>
        <v>0</v>
      </c>
      <c r="AC18" s="12">
        <f>+Precios!Y16*Precios!Y$3</f>
        <v>0</v>
      </c>
      <c r="AD18" s="12">
        <f>+Precios!Z16*Precios!Z$3</f>
        <v>0</v>
      </c>
      <c r="AE18" s="12">
        <f>+Precios!AA16*Precios!AA$3</f>
        <v>0</v>
      </c>
      <c r="AF18" s="12">
        <f>+Precios!AB16*Precios!AB$3</f>
        <v>0</v>
      </c>
      <c r="AG18" s="12">
        <f>+Precios!AC16*Precios!AC$3</f>
        <v>0</v>
      </c>
      <c r="AH18" s="12">
        <f>+Precios!AD16*Precios!AD$3</f>
        <v>0</v>
      </c>
      <c r="AI18" s="12">
        <f>+Precios!AE16*Precios!AE$3</f>
        <v>0</v>
      </c>
      <c r="AJ18" s="12">
        <f>+Precios!AF16*Precios!AF$3</f>
        <v>0</v>
      </c>
      <c r="AK18" s="12">
        <f>+Precios!AG16*Precios!AG$3</f>
        <v>0</v>
      </c>
      <c r="AL18" s="12">
        <f>+Precios!AH16*Precios!AH$3</f>
        <v>0</v>
      </c>
      <c r="AM18" s="12">
        <f>+Precios!AI16*Precios!AI$3</f>
        <v>0</v>
      </c>
      <c r="AN18" s="12">
        <f>+Precios!AJ16*Precios!AJ$3</f>
        <v>0</v>
      </c>
      <c r="AO18" s="12">
        <f>+Precios!AK16*Precios!AK$3</f>
        <v>0</v>
      </c>
      <c r="AP18" s="12">
        <f>+Precios!AL16*Precios!AL$3</f>
        <v>0</v>
      </c>
      <c r="AQ18" s="12">
        <f>+Precios!AM16*Precios!AM$3</f>
        <v>0</v>
      </c>
      <c r="AR18" s="12">
        <f>+Precios!AN16*Precios!AN$3</f>
        <v>0</v>
      </c>
      <c r="AS18" s="12">
        <f>+Precios!AO16*Precios!AO$3</f>
        <v>0</v>
      </c>
      <c r="AT18" s="12">
        <f>+Precios!AP16*Precios!AP$3</f>
        <v>0</v>
      </c>
      <c r="AU18" s="12">
        <f>+Precios!AQ16*Precios!AQ$3</f>
        <v>0</v>
      </c>
      <c r="AV18" s="12">
        <f>+Precios!AR16*Precios!AR$3</f>
        <v>0</v>
      </c>
      <c r="AW18" s="12">
        <f>+Precios!AS16*Precios!AS$3</f>
        <v>0</v>
      </c>
      <c r="AX18" s="12">
        <f>+Precios!AT16*Precios!AT$3</f>
        <v>0</v>
      </c>
      <c r="AY18" s="12">
        <f>+Precios!AU16*$AY$3</f>
        <v>0</v>
      </c>
      <c r="AZ18" s="12">
        <f>+Precios!AV16*Precios!AV$3</f>
        <v>0</v>
      </c>
      <c r="BA18" s="12">
        <f>+Precios!AW16*Precios!AW$3</f>
        <v>0</v>
      </c>
      <c r="BB18" s="12">
        <f>+Precios!AX16*Precios!AX$3</f>
        <v>0</v>
      </c>
      <c r="BC18" s="12">
        <f>+Precios!AY16*Precios!AY$3</f>
        <v>0</v>
      </c>
      <c r="BD18" s="12">
        <f>+Precios!AZ16*Precios!AZ$3</f>
        <v>0</v>
      </c>
      <c r="BE18" s="12">
        <f>+Precios!BA16*Precios!BA$3</f>
        <v>0</v>
      </c>
      <c r="BF18" s="12">
        <f>+Precios!BB16*Precios!BB$3</f>
        <v>0</v>
      </c>
      <c r="BG18" s="12">
        <f>+Precios!BC16*Precios!BC$3</f>
        <v>0</v>
      </c>
      <c r="BH18" s="12">
        <f>+Precios!BD16*$BH$3</f>
        <v>0</v>
      </c>
      <c r="BI18" s="12">
        <f>+Precios!BE16*Precios!BE$3</f>
        <v>0</v>
      </c>
      <c r="BJ18" s="12">
        <f>+Precios!BF16*Precios!BF$3</f>
        <v>0</v>
      </c>
      <c r="BK18" s="12">
        <f>+Precios!BG16*Precios!BG$3</f>
        <v>0</v>
      </c>
      <c r="BL18" s="12">
        <f>+Precios!BH16*Precios!BH$3</f>
        <v>0</v>
      </c>
      <c r="BM18" s="12">
        <f>+Precios!BI16*Precios!BI$3</f>
        <v>0</v>
      </c>
      <c r="BN18" s="12">
        <f>+Precios!BJ16*$BN$3</f>
        <v>0</v>
      </c>
      <c r="BO18" s="12">
        <f>+Precios!BK16*$BO$3</f>
        <v>0</v>
      </c>
      <c r="BP18" s="12">
        <f>+Precios!BL16*Precios!BL$3</f>
        <v>0</v>
      </c>
    </row>
    <row r="19" spans="1:68" ht="15" thickBot="1">
      <c r="A19" s="5">
        <f>+SUM(F19:XFD19)</f>
        <v>0</v>
      </c>
      <c r="B19" s="26">
        <f>+TRACK!M3+TRACK!M4</f>
        <v>10270.999999999995</v>
      </c>
      <c r="C19" s="5">
        <f t="shared" si="0"/>
        <v>10270.999999999995</v>
      </c>
      <c r="D19" s="5">
        <f>1000000+C19-Cost!A19</f>
        <v>1010271</v>
      </c>
      <c r="E19" s="15">
        <f>+Precios!A17</f>
        <v>45995</v>
      </c>
      <c r="F19" s="12">
        <f>+Precios!B17*Precios!B$3</f>
        <v>0</v>
      </c>
      <c r="G19" s="12">
        <f>+Precios!C17*Precios!C$3</f>
        <v>0</v>
      </c>
      <c r="H19" s="12">
        <f>+Precios!D17*Precios!D$3</f>
        <v>0</v>
      </c>
      <c r="I19" s="12">
        <f>+Precios!E17*Precios!E$3</f>
        <v>0</v>
      </c>
      <c r="J19" s="12">
        <f>+Precios!F17*Precios!F$3</f>
        <v>0</v>
      </c>
      <c r="K19" s="12">
        <f>+Precios!G17*Precios!G$3</f>
        <v>0</v>
      </c>
      <c r="L19" s="12">
        <f>+Precios!H17*Precios!H$3</f>
        <v>0</v>
      </c>
      <c r="M19" s="12">
        <f>+Precios!I17*Precios!I$3</f>
        <v>0</v>
      </c>
      <c r="N19" s="12">
        <f>+Precios!J17*Precios!J$3</f>
        <v>0</v>
      </c>
      <c r="O19" s="12">
        <f>+Precios!K17*Precios!K$3</f>
        <v>0</v>
      </c>
      <c r="P19" s="12">
        <f>+Precios!L17*Precios!L$3</f>
        <v>0</v>
      </c>
      <c r="Q19" s="12">
        <f>+Precios!M17*Precios!M$3</f>
        <v>0</v>
      </c>
      <c r="R19" s="12">
        <f>+Precios!N17*Precios!N$3</f>
        <v>0</v>
      </c>
      <c r="S19" s="12">
        <f>+Precios!O17*Precios!O$3</f>
        <v>0</v>
      </c>
      <c r="T19" s="12">
        <f>+Precios!P17*Precios!P$3</f>
        <v>0</v>
      </c>
      <c r="U19" s="12">
        <f>+Precios!Q17*Precios!Q$3</f>
        <v>0</v>
      </c>
      <c r="V19" s="12">
        <f>+Precios!R17*Precios!R$3</f>
        <v>0</v>
      </c>
      <c r="W19" s="12">
        <f>+Precios!S17*Precios!S$3</f>
        <v>0</v>
      </c>
      <c r="X19" s="12">
        <f>+Precios!T17*Precios!T$3</f>
        <v>0</v>
      </c>
      <c r="Y19" s="12">
        <f>+Precios!U17*Precios!U$3</f>
        <v>0</v>
      </c>
      <c r="Z19" s="12">
        <f>+Precios!V17*Precios!V$3</f>
        <v>0</v>
      </c>
      <c r="AA19" s="12">
        <f>+Precios!W17*Precios!W$3</f>
        <v>0</v>
      </c>
      <c r="AB19" s="12">
        <f>+Precios!X17*Precios!X$3</f>
        <v>0</v>
      </c>
      <c r="AC19" s="12">
        <f>+Precios!Y17*Precios!Y$3</f>
        <v>0</v>
      </c>
      <c r="AD19" s="12">
        <f>+Precios!Z17*Precios!Z$3</f>
        <v>0</v>
      </c>
      <c r="AE19" s="12">
        <f>+Precios!AA17*Precios!AA$3</f>
        <v>0</v>
      </c>
      <c r="AF19" s="12">
        <f>+Precios!AB17*Precios!AB$3</f>
        <v>0</v>
      </c>
      <c r="AG19" s="12">
        <f>+Precios!AC17*Precios!AC$3</f>
        <v>0</v>
      </c>
      <c r="AH19" s="12">
        <f>+Precios!AD17*Precios!AD$3</f>
        <v>0</v>
      </c>
      <c r="AI19" s="12">
        <f>+Precios!AE17*Precios!AE$3</f>
        <v>0</v>
      </c>
      <c r="AJ19" s="12">
        <f>+Precios!AF17*Precios!AF$3</f>
        <v>0</v>
      </c>
      <c r="AK19" s="12">
        <f>+Precios!AG17*Precios!AG$3</f>
        <v>0</v>
      </c>
      <c r="AL19" s="12">
        <f>+Precios!AH17*Precios!AH$3</f>
        <v>0</v>
      </c>
      <c r="AM19" s="12">
        <f>+Precios!AI17*Precios!AI$3</f>
        <v>0</v>
      </c>
      <c r="AN19" s="12">
        <f>+Precios!AJ17*Precios!AJ$3</f>
        <v>0</v>
      </c>
      <c r="AO19" s="12">
        <f>+Precios!AK17*Precios!AK$3</f>
        <v>0</v>
      </c>
      <c r="AP19" s="12">
        <f>+Precios!AL17*Precios!AL$3</f>
        <v>0</v>
      </c>
      <c r="AQ19" s="12">
        <f>+Precios!AM17*Precios!AM$3</f>
        <v>0</v>
      </c>
      <c r="AR19" s="12">
        <f>+Precios!AN17*Precios!AN$3</f>
        <v>0</v>
      </c>
      <c r="AS19" s="12">
        <f>+Precios!AO17*Precios!AO$3</f>
        <v>0</v>
      </c>
      <c r="AT19" s="12">
        <f>+Precios!AP17*Precios!AP$3</f>
        <v>0</v>
      </c>
      <c r="AU19" s="12">
        <f>+Precios!AQ17*Precios!AQ$3</f>
        <v>0</v>
      </c>
      <c r="AV19" s="12">
        <f>+Precios!AR17*Precios!AR$3</f>
        <v>0</v>
      </c>
      <c r="AW19" s="12">
        <f>+Precios!AS17*Precios!AS$3</f>
        <v>0</v>
      </c>
      <c r="AX19" s="12">
        <f>+Precios!AT17*Precios!AT$3</f>
        <v>0</v>
      </c>
      <c r="AY19" s="12">
        <f>+Precios!AU17*$AY$3</f>
        <v>0</v>
      </c>
      <c r="AZ19" s="12">
        <f>+Precios!AV17*Precios!AV$3</f>
        <v>0</v>
      </c>
      <c r="BA19" s="12">
        <f>+Precios!AW17*Precios!AW$3</f>
        <v>0</v>
      </c>
      <c r="BB19" s="12">
        <f>+Precios!AX17*Precios!AX$3</f>
        <v>0</v>
      </c>
      <c r="BC19" s="12">
        <f>+Precios!AY17*Precios!AY$3</f>
        <v>0</v>
      </c>
      <c r="BD19" s="12">
        <f>+Precios!AZ17*Precios!AZ$3</f>
        <v>0</v>
      </c>
      <c r="BE19" s="12">
        <f>+Precios!BA17*Precios!BA$3</f>
        <v>0</v>
      </c>
      <c r="BF19" s="12">
        <f>+Precios!BB17*Precios!BB$3</f>
        <v>0</v>
      </c>
      <c r="BG19" s="12">
        <f>+Precios!BC17*Precios!BC$3</f>
        <v>0</v>
      </c>
      <c r="BH19" s="12">
        <f>+Precios!BD17*$BH$3</f>
        <v>0</v>
      </c>
      <c r="BI19" s="12">
        <f>+Precios!BE17*Precios!BE$3</f>
        <v>0</v>
      </c>
      <c r="BJ19" s="12">
        <f>+Precios!BF17*Precios!BF$3</f>
        <v>0</v>
      </c>
      <c r="BK19" s="12">
        <f>+Precios!BG17*Precios!BG$3</f>
        <v>0</v>
      </c>
      <c r="BL19" s="12">
        <f>+Precios!BH17*Precios!BH$3</f>
        <v>0</v>
      </c>
      <c r="BM19" s="12">
        <f>+Precios!BI17*Precios!BI$3</f>
        <v>0</v>
      </c>
      <c r="BN19" s="12">
        <f>+Precios!BJ17*$BN$3</f>
        <v>0</v>
      </c>
      <c r="BO19" s="12">
        <f>+Precios!BK17*$BO$3</f>
        <v>0</v>
      </c>
      <c r="BP19" s="12">
        <f>+Precios!BL17*Precios!BL$3</f>
        <v>0</v>
      </c>
    </row>
    <row r="20" spans="1:68" ht="15" thickBot="1">
      <c r="A20" s="5">
        <f>+SUM(F20:XFD20)</f>
        <v>0</v>
      </c>
      <c r="B20" s="26"/>
      <c r="C20" s="5">
        <f t="shared" si="0"/>
        <v>10270.999999999995</v>
      </c>
      <c r="D20" s="5">
        <f>1000000+C20-Cost!A20</f>
        <v>1010271</v>
      </c>
      <c r="E20" s="15">
        <f>+Precios!A18</f>
        <v>45996</v>
      </c>
      <c r="F20" s="12">
        <f>+Precios!B18*Precios!B$3</f>
        <v>0</v>
      </c>
      <c r="G20" s="12">
        <f>+Precios!C18*Precios!C$3</f>
        <v>0</v>
      </c>
      <c r="H20" s="12">
        <f>+Precios!D18*Precios!D$3</f>
        <v>0</v>
      </c>
      <c r="I20" s="12">
        <f>+Precios!E18*Precios!E$3</f>
        <v>0</v>
      </c>
      <c r="J20" s="12">
        <f>+Precios!F18*Precios!F$3</f>
        <v>0</v>
      </c>
      <c r="K20" s="12">
        <f>+Precios!G18*Precios!G$3</f>
        <v>0</v>
      </c>
      <c r="L20" s="12">
        <f>+Precios!H18*Precios!H$3</f>
        <v>0</v>
      </c>
      <c r="M20" s="12">
        <f>+Precios!I18*Precios!I$3</f>
        <v>0</v>
      </c>
      <c r="N20" s="12">
        <f>+Precios!J18*Precios!J$3</f>
        <v>0</v>
      </c>
      <c r="O20" s="12">
        <f>+Precios!K18*Precios!K$3</f>
        <v>0</v>
      </c>
      <c r="P20" s="12">
        <f>+Precios!L18*Precios!L$3</f>
        <v>0</v>
      </c>
      <c r="Q20" s="12">
        <f>+Precios!M18*Precios!M$3</f>
        <v>0</v>
      </c>
      <c r="R20" s="12">
        <f>+Precios!N18*Precios!N$3</f>
        <v>0</v>
      </c>
      <c r="S20" s="12">
        <f>+Precios!O18*Precios!O$3</f>
        <v>0</v>
      </c>
      <c r="T20" s="12">
        <f>+Precios!P18*Precios!P$3</f>
        <v>0</v>
      </c>
      <c r="U20" s="12">
        <f>+Precios!Q18*Precios!Q$3</f>
        <v>0</v>
      </c>
      <c r="V20" s="12">
        <f>+Precios!R18*Precios!R$3</f>
        <v>0</v>
      </c>
      <c r="W20" s="12">
        <f>+Precios!S18*Precios!S$3</f>
        <v>0</v>
      </c>
      <c r="X20" s="12">
        <f>+Precios!T18*Precios!T$3</f>
        <v>0</v>
      </c>
      <c r="Y20" s="12">
        <f>+Precios!U18*Precios!U$3</f>
        <v>0</v>
      </c>
      <c r="Z20" s="12">
        <f>+Precios!V18*Precios!V$3</f>
        <v>0</v>
      </c>
      <c r="AA20" s="12">
        <f>+Precios!W18*Precios!W$3</f>
        <v>0</v>
      </c>
      <c r="AB20" s="12">
        <f>+Precios!X18*Precios!X$3</f>
        <v>0</v>
      </c>
      <c r="AC20" s="12">
        <f>+Precios!Y18*Precios!Y$3</f>
        <v>0</v>
      </c>
      <c r="AD20" s="12">
        <f>+Precios!Z18*Precios!Z$3</f>
        <v>0</v>
      </c>
      <c r="AE20" s="12">
        <f>+Precios!AA18*Precios!AA$3</f>
        <v>0</v>
      </c>
      <c r="AF20" s="12">
        <f>+Precios!AB18*Precios!AB$3</f>
        <v>0</v>
      </c>
      <c r="AG20" s="12">
        <f>+Precios!AC18*Precios!AC$3</f>
        <v>0</v>
      </c>
      <c r="AH20" s="12">
        <f>+Precios!AD18*Precios!AD$3</f>
        <v>0</v>
      </c>
      <c r="AI20" s="12">
        <f>+Precios!AE18*Precios!AE$3</f>
        <v>0</v>
      </c>
      <c r="AJ20" s="12">
        <f>+Precios!AF18*Precios!AF$3</f>
        <v>0</v>
      </c>
      <c r="AK20" s="12">
        <f>+Precios!AG18*Precios!AG$3</f>
        <v>0</v>
      </c>
      <c r="AL20" s="12">
        <f>+Precios!AH18*Precios!AH$3</f>
        <v>0</v>
      </c>
      <c r="AM20" s="12">
        <f>+Precios!AI18*Precios!AI$3</f>
        <v>0</v>
      </c>
      <c r="AN20" s="12">
        <f>+Precios!AJ18*Precios!AJ$3</f>
        <v>0</v>
      </c>
      <c r="AO20" s="12">
        <f>+Precios!AK18*Precios!AK$3</f>
        <v>0</v>
      </c>
      <c r="AP20" s="12">
        <f>+Precios!AL18*Precios!AL$3</f>
        <v>0</v>
      </c>
      <c r="AQ20" s="12">
        <f>+Precios!AM18*Precios!AM$3</f>
        <v>0</v>
      </c>
      <c r="AR20" s="12">
        <f>+Precios!AN18*Precios!AN$3</f>
        <v>0</v>
      </c>
      <c r="AS20" s="12">
        <f>+Precios!AO18*Precios!AO$3</f>
        <v>0</v>
      </c>
      <c r="AT20" s="12">
        <f>+Precios!AP18*Precios!AP$3</f>
        <v>0</v>
      </c>
      <c r="AU20" s="12">
        <f>+Precios!AQ18*Precios!AQ$3</f>
        <v>0</v>
      </c>
      <c r="AV20" s="12">
        <f>+Precios!AR18*Precios!AR$3</f>
        <v>0</v>
      </c>
      <c r="AW20" s="12">
        <f>+Precios!AS18*Precios!AS$3</f>
        <v>0</v>
      </c>
      <c r="AX20" s="12">
        <f>+Precios!AT18*Precios!AT$3</f>
        <v>0</v>
      </c>
      <c r="AY20" s="12">
        <f>+Precios!AU18*$AY$3</f>
        <v>0</v>
      </c>
      <c r="AZ20" s="12">
        <f>+Precios!AV18*Precios!AV$3</f>
        <v>0</v>
      </c>
      <c r="BA20" s="12">
        <f>+Precios!AW18*Precios!AW$3</f>
        <v>0</v>
      </c>
      <c r="BB20" s="12">
        <f>+Precios!AX18*Precios!AX$3</f>
        <v>0</v>
      </c>
      <c r="BC20" s="12">
        <f>+Precios!AY18*Precios!AY$3</f>
        <v>0</v>
      </c>
      <c r="BD20" s="12">
        <f>+Precios!AZ18*Precios!AZ$3</f>
        <v>0</v>
      </c>
      <c r="BE20" s="12">
        <f>+Precios!BA18*Precios!BA$3</f>
        <v>0</v>
      </c>
      <c r="BF20" s="12">
        <f>+Precios!BB18*Precios!BB$3</f>
        <v>0</v>
      </c>
      <c r="BG20" s="12">
        <f>+Precios!BC18*Precios!BC$3</f>
        <v>0</v>
      </c>
      <c r="BH20" s="12">
        <f>+Precios!BD18*$BH$3</f>
        <v>0</v>
      </c>
      <c r="BI20" s="12">
        <f>+Precios!BE18*Precios!BE$3</f>
        <v>0</v>
      </c>
      <c r="BJ20" s="12">
        <f>+Precios!BF18*Precios!BF$3</f>
        <v>0</v>
      </c>
      <c r="BK20" s="12">
        <f>+Precios!BG18*Precios!BG$3</f>
        <v>0</v>
      </c>
      <c r="BL20" s="12">
        <f>+Precios!BH18*Precios!BH$3</f>
        <v>0</v>
      </c>
      <c r="BM20" s="12">
        <f>+Precios!BI18*Precios!BI$3</f>
        <v>0</v>
      </c>
      <c r="BN20" s="12">
        <f>+Precios!BJ18*$BN$3</f>
        <v>0</v>
      </c>
      <c r="BO20" s="12">
        <f>+Precios!BK18*$BO$3</f>
        <v>0</v>
      </c>
      <c r="BP20" s="12">
        <f>+Precios!BL18*Precios!BL$3</f>
        <v>0</v>
      </c>
    </row>
    <row r="21" spans="1:68" ht="15" thickBot="1">
      <c r="A21" s="5">
        <f>+SUM(F21:XFD21)</f>
        <v>0</v>
      </c>
      <c r="B21" s="26"/>
      <c r="C21" s="5">
        <f t="shared" si="0"/>
        <v>10270.999999999995</v>
      </c>
      <c r="D21" s="5">
        <f>1000000+C21-Cost!A21</f>
        <v>1010271</v>
      </c>
      <c r="E21" s="15">
        <f>+Precios!A19</f>
        <v>45999</v>
      </c>
      <c r="F21" s="12">
        <f>+Precios!B19*Precios!B$3</f>
        <v>0</v>
      </c>
      <c r="G21" s="12">
        <f>+Precios!C19*Precios!C$3</f>
        <v>0</v>
      </c>
      <c r="H21" s="12">
        <f>+Precios!D19*Precios!D$3</f>
        <v>0</v>
      </c>
      <c r="I21" s="12">
        <f>+Precios!E19*Precios!E$3</f>
        <v>0</v>
      </c>
      <c r="J21" s="12">
        <f>+Precios!F19*Precios!F$3</f>
        <v>0</v>
      </c>
      <c r="K21" s="12">
        <f>+Precios!G19*Precios!G$3</f>
        <v>0</v>
      </c>
      <c r="L21" s="12">
        <f>+Precios!H19*Precios!H$3</f>
        <v>0</v>
      </c>
      <c r="M21" s="12">
        <f>+Precios!I19*Precios!I$3</f>
        <v>0</v>
      </c>
      <c r="N21" s="12">
        <f>+Precios!J19*Precios!J$3</f>
        <v>0</v>
      </c>
      <c r="O21" s="12">
        <f>+Precios!K19*Precios!K$3</f>
        <v>0</v>
      </c>
      <c r="P21" s="12">
        <f>+Precios!L19*Precios!L$3</f>
        <v>0</v>
      </c>
      <c r="Q21" s="12">
        <f>+Precios!M19*Precios!M$3</f>
        <v>0</v>
      </c>
      <c r="R21" s="12">
        <f>+Precios!N19*Precios!N$3</f>
        <v>0</v>
      </c>
      <c r="S21" s="12">
        <f>+Precios!O19*Precios!O$3</f>
        <v>0</v>
      </c>
      <c r="T21" s="12">
        <f>+Precios!P19*Precios!P$3</f>
        <v>0</v>
      </c>
      <c r="U21" s="12">
        <f>+Precios!Q19*Precios!Q$3</f>
        <v>0</v>
      </c>
      <c r="V21" s="12">
        <f>+Precios!R19*Precios!R$3</f>
        <v>0</v>
      </c>
      <c r="W21" s="12">
        <f>+Precios!S19*Precios!S$3</f>
        <v>0</v>
      </c>
      <c r="X21" s="12">
        <f>+Precios!T19*Precios!T$3</f>
        <v>0</v>
      </c>
      <c r="Y21" s="12">
        <f>+Precios!U19*Precios!U$3</f>
        <v>0</v>
      </c>
      <c r="Z21" s="12">
        <f>+Precios!V19*Precios!V$3</f>
        <v>0</v>
      </c>
      <c r="AA21" s="12">
        <f>+Precios!W19*Precios!W$3</f>
        <v>0</v>
      </c>
      <c r="AB21" s="12">
        <f>+Precios!X19*Precios!X$3</f>
        <v>0</v>
      </c>
      <c r="AC21" s="12">
        <f>+Precios!Y19*Precios!Y$3</f>
        <v>0</v>
      </c>
      <c r="AD21" s="12">
        <f>+Precios!Z19*Precios!Z$3</f>
        <v>0</v>
      </c>
      <c r="AE21" s="12">
        <f>+Precios!AA19*Precios!AA$3</f>
        <v>0</v>
      </c>
      <c r="AF21" s="12">
        <f>+Precios!AB19*Precios!AB$3</f>
        <v>0</v>
      </c>
      <c r="AG21" s="12">
        <f>+Precios!AC19*Precios!AC$3</f>
        <v>0</v>
      </c>
      <c r="AH21" s="12">
        <f>+Precios!AD19*Precios!AD$3</f>
        <v>0</v>
      </c>
      <c r="AI21" s="12">
        <f>+Precios!AE19*Precios!AE$3</f>
        <v>0</v>
      </c>
      <c r="AJ21" s="12">
        <f>+Precios!AF19*Precios!AF$3</f>
        <v>0</v>
      </c>
      <c r="AK21" s="12">
        <f>+Precios!AG19*Precios!AG$3</f>
        <v>0</v>
      </c>
      <c r="AL21" s="12">
        <f>+Precios!AH19*Precios!AH$3</f>
        <v>0</v>
      </c>
      <c r="AM21" s="12">
        <f>+Precios!AI19*Precios!AI$3</f>
        <v>0</v>
      </c>
      <c r="AN21" s="12">
        <f>+Precios!AJ19*Precios!AJ$3</f>
        <v>0</v>
      </c>
      <c r="AO21" s="12">
        <f>+Precios!AK19*Precios!AK$3</f>
        <v>0</v>
      </c>
      <c r="AP21" s="12">
        <f>+Precios!AL19*Precios!AL$3</f>
        <v>0</v>
      </c>
      <c r="AQ21" s="12">
        <f>+Precios!AM19*Precios!AM$3</f>
        <v>0</v>
      </c>
      <c r="AR21" s="12">
        <f>+Precios!AN19*Precios!AN$3</f>
        <v>0</v>
      </c>
      <c r="AS21" s="12">
        <f>+Precios!AO19*Precios!AO$3</f>
        <v>0</v>
      </c>
      <c r="AT21" s="12">
        <f>+Precios!AP19*Precios!AP$3</f>
        <v>0</v>
      </c>
      <c r="AU21" s="12">
        <f>+Precios!AQ19*Precios!AQ$3</f>
        <v>0</v>
      </c>
      <c r="AV21" s="12">
        <f>+Precios!AR19*Precios!AR$3</f>
        <v>0</v>
      </c>
      <c r="AW21" s="12">
        <f>+Precios!AS19*Precios!AS$3</f>
        <v>0</v>
      </c>
      <c r="AX21" s="12">
        <f>+Precios!AT19*Precios!AT$3</f>
        <v>0</v>
      </c>
      <c r="AY21" s="12">
        <f>+Precios!AU19*$AY$3</f>
        <v>0</v>
      </c>
      <c r="AZ21" s="12">
        <f>+Precios!AV19*Precios!AV$3</f>
        <v>0</v>
      </c>
      <c r="BA21" s="12">
        <f>+Precios!AW19*Precios!AW$3</f>
        <v>0</v>
      </c>
      <c r="BB21" s="12">
        <f>+Precios!AX19*Precios!AX$3</f>
        <v>0</v>
      </c>
      <c r="BC21" s="12">
        <f>+Precios!AY19*Precios!AY$3</f>
        <v>0</v>
      </c>
      <c r="BD21" s="12">
        <f>+Precios!AZ19*Precios!AZ$3</f>
        <v>0</v>
      </c>
      <c r="BE21" s="12">
        <f>+Precios!BA19*Precios!BA$3</f>
        <v>0</v>
      </c>
      <c r="BF21" s="12">
        <f>+Precios!BB19*Precios!BB$3</f>
        <v>0</v>
      </c>
      <c r="BG21" s="12">
        <f>+Precios!BC19*Precios!BC$3</f>
        <v>0</v>
      </c>
      <c r="BH21" s="12">
        <f>+Precios!BD19*$BH$3</f>
        <v>0</v>
      </c>
      <c r="BI21" s="12">
        <f>+Precios!BE19*Precios!BE$3</f>
        <v>0</v>
      </c>
      <c r="BJ21" s="12">
        <f>+Precios!BF19*Precios!BF$3</f>
        <v>0</v>
      </c>
      <c r="BK21" s="12">
        <f>+Precios!BG19*Precios!BG$3</f>
        <v>0</v>
      </c>
      <c r="BL21" s="12">
        <f>+Precios!BH19*Precios!BH$3</f>
        <v>0</v>
      </c>
      <c r="BM21" s="12">
        <f>+Precios!BI19*Precios!BI$3</f>
        <v>0</v>
      </c>
      <c r="BN21" s="12">
        <f>+Precios!BJ19*$BN$3</f>
        <v>0</v>
      </c>
      <c r="BO21" s="12">
        <f>+Precios!BK19*$BO$3</f>
        <v>0</v>
      </c>
      <c r="BP21" s="12">
        <f>+Precios!BL19*Precios!BL$3</f>
        <v>0</v>
      </c>
    </row>
    <row r="22" spans="1:68" ht="15" thickBot="1">
      <c r="A22" s="5">
        <f>+SUM(F22:XFD22)</f>
        <v>0</v>
      </c>
      <c r="B22" s="26"/>
      <c r="C22" s="5">
        <f t="shared" si="0"/>
        <v>10270.999999999995</v>
      </c>
      <c r="D22" s="5">
        <f>1000000+C22-Cost!A22</f>
        <v>1010271</v>
      </c>
      <c r="E22" s="15">
        <f>+Precios!A20</f>
        <v>46000</v>
      </c>
      <c r="F22" s="12">
        <f>+Precios!B20*Precios!B$3</f>
        <v>0</v>
      </c>
      <c r="G22" s="12">
        <f>+Precios!C20*Precios!C$3</f>
        <v>0</v>
      </c>
      <c r="H22" s="12">
        <f>+Precios!D20*Precios!D$3</f>
        <v>0</v>
      </c>
      <c r="I22" s="12">
        <f>+Precios!E20*Precios!E$3</f>
        <v>0</v>
      </c>
      <c r="J22" s="12">
        <f>+Precios!F20*Precios!F$3</f>
        <v>0</v>
      </c>
      <c r="K22" s="12">
        <f>+Precios!G20*Precios!G$3</f>
        <v>0</v>
      </c>
      <c r="L22" s="12">
        <f>+Precios!H20*Precios!H$3</f>
        <v>0</v>
      </c>
      <c r="M22" s="12">
        <f>+Precios!I20*Precios!I$3</f>
        <v>0</v>
      </c>
      <c r="N22" s="12">
        <f>+Precios!J20*Precios!J$3</f>
        <v>0</v>
      </c>
      <c r="O22" s="12">
        <f>+Precios!K20*Precios!K$3</f>
        <v>0</v>
      </c>
      <c r="P22" s="12">
        <f>+Precios!L20*Precios!L$3</f>
        <v>0</v>
      </c>
      <c r="Q22" s="12">
        <f>+Precios!M20*Precios!M$3</f>
        <v>0</v>
      </c>
      <c r="R22" s="12">
        <f>+Precios!N20*Precios!N$3</f>
        <v>0</v>
      </c>
      <c r="S22" s="12">
        <f>+Precios!O20*Precios!O$3</f>
        <v>0</v>
      </c>
      <c r="T22" s="12">
        <f>+Precios!P20*Precios!P$3</f>
        <v>0</v>
      </c>
      <c r="U22" s="12">
        <f>+Precios!Q20*Precios!Q$3</f>
        <v>0</v>
      </c>
      <c r="V22" s="12">
        <f>+Precios!R20*Precios!R$3</f>
        <v>0</v>
      </c>
      <c r="W22" s="12">
        <f>+Precios!S20*Precios!S$3</f>
        <v>0</v>
      </c>
      <c r="X22" s="12">
        <f>+Precios!T20*Precios!T$3</f>
        <v>0</v>
      </c>
      <c r="Y22" s="12">
        <f>+Precios!U20*Precios!U$3</f>
        <v>0</v>
      </c>
      <c r="Z22" s="12">
        <f>+Precios!V20*Precios!V$3</f>
        <v>0</v>
      </c>
      <c r="AA22" s="12">
        <f>+Precios!W20*Precios!W$3</f>
        <v>0</v>
      </c>
      <c r="AB22" s="12">
        <f>+Precios!X20*Precios!X$3</f>
        <v>0</v>
      </c>
      <c r="AC22" s="12">
        <f>+Precios!Y20*Precios!Y$3</f>
        <v>0</v>
      </c>
      <c r="AD22" s="12">
        <f>+Precios!Z20*Precios!Z$3</f>
        <v>0</v>
      </c>
      <c r="AE22" s="12">
        <f>+Precios!AA20*Precios!AA$3</f>
        <v>0</v>
      </c>
      <c r="AF22" s="12">
        <f>+Precios!AB20*Precios!AB$3</f>
        <v>0</v>
      </c>
      <c r="AG22" s="12">
        <f>+Precios!AC20*Precios!AC$3</f>
        <v>0</v>
      </c>
      <c r="AH22" s="12">
        <f>+Precios!AD20*Precios!AD$3</f>
        <v>0</v>
      </c>
      <c r="AI22" s="12">
        <f>+Precios!AE20*Precios!AE$3</f>
        <v>0</v>
      </c>
      <c r="AJ22" s="12">
        <f>+Precios!AF20*Precios!AF$3</f>
        <v>0</v>
      </c>
      <c r="AK22" s="12">
        <f>+Precios!AG20*Precios!AG$3</f>
        <v>0</v>
      </c>
      <c r="AL22" s="12">
        <f>+Precios!AH20*Precios!AH$3</f>
        <v>0</v>
      </c>
      <c r="AM22" s="12">
        <f>+Precios!AI20*Precios!AI$3</f>
        <v>0</v>
      </c>
      <c r="AN22" s="12">
        <f>+Precios!AJ20*Precios!AJ$3</f>
        <v>0</v>
      </c>
      <c r="AO22" s="12">
        <f>+Precios!AK20*Precios!AK$3</f>
        <v>0</v>
      </c>
      <c r="AP22" s="12">
        <f>+Precios!AL20*Precios!AL$3</f>
        <v>0</v>
      </c>
      <c r="AQ22" s="12">
        <f>+Precios!AM20*Precios!AM$3</f>
        <v>0</v>
      </c>
      <c r="AR22" s="12">
        <f>+Precios!AN20*Precios!AN$3</f>
        <v>0</v>
      </c>
      <c r="AS22" s="12">
        <f>+Precios!AO20*Precios!AO$3</f>
        <v>0</v>
      </c>
      <c r="AT22" s="12">
        <f>+Precios!AP20*Precios!AP$3</f>
        <v>0</v>
      </c>
      <c r="AU22" s="12">
        <f>+Precios!AQ20*Precios!AQ$3</f>
        <v>0</v>
      </c>
      <c r="AV22" s="12">
        <f>+Precios!AR20*Precios!AR$3</f>
        <v>0</v>
      </c>
      <c r="AW22" s="12">
        <f>+Precios!AS20*Precios!AS$3</f>
        <v>0</v>
      </c>
      <c r="AX22" s="12">
        <f>+Precios!AT20*Precios!AT$3</f>
        <v>0</v>
      </c>
      <c r="AY22" s="12">
        <f>+Precios!AU20*$AY$3</f>
        <v>0</v>
      </c>
      <c r="AZ22" s="12">
        <f>+Precios!AV20*Precios!AV$3</f>
        <v>0</v>
      </c>
      <c r="BA22" s="12">
        <f>+Precios!AW20*Precios!AW$3</f>
        <v>0</v>
      </c>
      <c r="BB22" s="12">
        <f>+Precios!AX20*Precios!AX$3</f>
        <v>0</v>
      </c>
      <c r="BC22" s="12">
        <f>+Precios!AY20*Precios!AY$3</f>
        <v>0</v>
      </c>
      <c r="BD22" s="12">
        <f>+Precios!AZ20*Precios!AZ$3</f>
        <v>0</v>
      </c>
      <c r="BE22" s="12">
        <f>+Precios!BA20*Precios!BA$3</f>
        <v>0</v>
      </c>
      <c r="BF22" s="12">
        <f>+Precios!BB20*Precios!BB$3</f>
        <v>0</v>
      </c>
      <c r="BG22" s="12">
        <f>+Precios!BC20*Precios!BC$3</f>
        <v>0</v>
      </c>
      <c r="BH22" s="12">
        <f>+Precios!BD20*$BH$3</f>
        <v>0</v>
      </c>
      <c r="BI22" s="12">
        <f>+Precios!BE20*Precios!BE$3</f>
        <v>0</v>
      </c>
      <c r="BJ22" s="12">
        <f>+Precios!BF20*Precios!BF$3</f>
        <v>0</v>
      </c>
      <c r="BK22" s="12">
        <f>+Precios!BG20*Precios!BG$3</f>
        <v>0</v>
      </c>
      <c r="BL22" s="12">
        <f>+Precios!BH20*Precios!BH$3</f>
        <v>0</v>
      </c>
      <c r="BM22" s="12">
        <f>+Precios!BI20*Precios!BI$3</f>
        <v>0</v>
      </c>
      <c r="BN22" s="12">
        <f>+Precios!BJ20*$BN$3</f>
        <v>0</v>
      </c>
      <c r="BO22" s="12">
        <f>+Precios!BK20*$BO$3</f>
        <v>0</v>
      </c>
      <c r="BP22" s="12">
        <f>+Precios!BL20*Precios!BL$3</f>
        <v>0</v>
      </c>
    </row>
    <row r="23" spans="1:68" ht="15" thickBot="1">
      <c r="A23" s="5">
        <f>+SUM(F23:XFD23)</f>
        <v>0</v>
      </c>
      <c r="B23" s="26"/>
      <c r="C23" s="5">
        <f t="shared" si="0"/>
        <v>10270.999999999995</v>
      </c>
      <c r="D23" s="5">
        <f>1000000+C23-Cost!A23</f>
        <v>1010271</v>
      </c>
      <c r="E23" s="15">
        <f>+Precios!A21</f>
        <v>46001</v>
      </c>
      <c r="F23" s="12">
        <f>+Precios!B21*Precios!B$3</f>
        <v>0</v>
      </c>
      <c r="G23" s="12">
        <f>+Precios!C21*Precios!C$3</f>
        <v>0</v>
      </c>
      <c r="H23" s="12">
        <f>+Precios!D21*Precios!D$3</f>
        <v>0</v>
      </c>
      <c r="I23" s="12">
        <f>+Precios!E21*Precios!E$3</f>
        <v>0</v>
      </c>
      <c r="J23" s="12">
        <f>+Precios!F21*Precios!F$3</f>
        <v>0</v>
      </c>
      <c r="K23" s="12">
        <f>+Precios!G21*Precios!G$3</f>
        <v>0</v>
      </c>
      <c r="L23" s="12">
        <f>+Precios!H21*Precios!H$3</f>
        <v>0</v>
      </c>
      <c r="M23" s="12">
        <f>+Precios!I21*Precios!I$3</f>
        <v>0</v>
      </c>
      <c r="N23" s="12">
        <f>+Precios!J21*Precios!J$3</f>
        <v>0</v>
      </c>
      <c r="O23" s="12">
        <f>+Precios!K21*Precios!K$3</f>
        <v>0</v>
      </c>
      <c r="P23" s="12">
        <f>+Precios!L21*Precios!L$3</f>
        <v>0</v>
      </c>
      <c r="Q23" s="12">
        <f>+Precios!M21*Precios!M$3</f>
        <v>0</v>
      </c>
      <c r="R23" s="12">
        <f>+Precios!N21*Precios!N$3</f>
        <v>0</v>
      </c>
      <c r="S23" s="12">
        <f>+Precios!O21*Precios!O$3</f>
        <v>0</v>
      </c>
      <c r="T23" s="12">
        <f>+Precios!P21*Precios!P$3</f>
        <v>0</v>
      </c>
      <c r="U23" s="12">
        <f>+Precios!Q21*Precios!Q$3</f>
        <v>0</v>
      </c>
      <c r="V23" s="12">
        <f>+Precios!R21*Precios!R$3</f>
        <v>0</v>
      </c>
      <c r="W23" s="12">
        <f>+Precios!S21*Precios!S$3</f>
        <v>0</v>
      </c>
      <c r="X23" s="12">
        <f>+Precios!T21*Precios!T$3</f>
        <v>0</v>
      </c>
      <c r="Y23" s="12">
        <f>+Precios!U21*Precios!U$3</f>
        <v>0</v>
      </c>
      <c r="Z23" s="12">
        <f>+Precios!V21*Precios!V$3</f>
        <v>0</v>
      </c>
      <c r="AA23" s="12">
        <f>+Precios!W21*Precios!W$3</f>
        <v>0</v>
      </c>
      <c r="AB23" s="12">
        <f>+Precios!X21*Precios!X$3</f>
        <v>0</v>
      </c>
      <c r="AC23" s="12">
        <f>+Precios!Y21*Precios!Y$3</f>
        <v>0</v>
      </c>
      <c r="AD23" s="12">
        <f>+Precios!Z21*Precios!Z$3</f>
        <v>0</v>
      </c>
      <c r="AE23" s="12">
        <f>+Precios!AA21*Precios!AA$3</f>
        <v>0</v>
      </c>
      <c r="AF23" s="12">
        <f>+Precios!AB21*Precios!AB$3</f>
        <v>0</v>
      </c>
      <c r="AG23" s="12">
        <f>+Precios!AC21*Precios!AC$3</f>
        <v>0</v>
      </c>
      <c r="AH23" s="12">
        <f>+Precios!AD21*Precios!AD$3</f>
        <v>0</v>
      </c>
      <c r="AI23" s="12">
        <f>+Precios!AE21*Precios!AE$3</f>
        <v>0</v>
      </c>
      <c r="AJ23" s="12">
        <f>+Precios!AF21*Precios!AF$3</f>
        <v>0</v>
      </c>
      <c r="AK23" s="12">
        <f>+Precios!AG21*Precios!AG$3</f>
        <v>0</v>
      </c>
      <c r="AL23" s="12">
        <f>+Precios!AH21*Precios!AH$3</f>
        <v>0</v>
      </c>
      <c r="AM23" s="12">
        <f>+Precios!AI21*Precios!AI$3</f>
        <v>0</v>
      </c>
      <c r="AN23" s="12">
        <f>+Precios!AJ21*Precios!AJ$3</f>
        <v>0</v>
      </c>
      <c r="AO23" s="12">
        <f>+Precios!AK21*Precios!AK$3</f>
        <v>0</v>
      </c>
      <c r="AP23" s="12">
        <f>+Precios!AL21*Precios!AL$3</f>
        <v>0</v>
      </c>
      <c r="AQ23" s="12">
        <f>+Precios!AM21*Precios!AM$3</f>
        <v>0</v>
      </c>
      <c r="AR23" s="12">
        <f>+Precios!AN21*Precios!AN$3</f>
        <v>0</v>
      </c>
      <c r="AS23" s="12">
        <f>+Precios!AO21*Precios!AO$3</f>
        <v>0</v>
      </c>
      <c r="AT23" s="12">
        <f>+Precios!AP21*Precios!AP$3</f>
        <v>0</v>
      </c>
      <c r="AU23" s="12">
        <f>+Precios!AQ21*Precios!AQ$3</f>
        <v>0</v>
      </c>
      <c r="AV23" s="12">
        <f>+Precios!AR21*Precios!AR$3</f>
        <v>0</v>
      </c>
      <c r="AW23" s="12">
        <f>+Precios!AS21*Precios!AS$3</f>
        <v>0</v>
      </c>
      <c r="AX23" s="12">
        <f>+Precios!AT21*Precios!AT$3</f>
        <v>0</v>
      </c>
      <c r="AY23" s="12">
        <f>+Precios!AU21*$AY$3</f>
        <v>0</v>
      </c>
      <c r="AZ23" s="12">
        <f>+Precios!AV21*Precios!AV$3</f>
        <v>0</v>
      </c>
      <c r="BA23" s="12">
        <f>+Precios!AW21*Precios!AW$3</f>
        <v>0</v>
      </c>
      <c r="BB23" s="12">
        <f>+Precios!AX21*Precios!AX$3</f>
        <v>0</v>
      </c>
      <c r="BC23" s="12">
        <f>+Precios!AY21*Precios!AY$3</f>
        <v>0</v>
      </c>
      <c r="BD23" s="12">
        <f>+Precios!AZ21*Precios!AZ$3</f>
        <v>0</v>
      </c>
      <c r="BE23" s="12">
        <f>+Precios!BA21*Precios!BA$3</f>
        <v>0</v>
      </c>
      <c r="BF23" s="12">
        <f>+Precios!BB21*Precios!BB$3</f>
        <v>0</v>
      </c>
      <c r="BG23" s="12">
        <f>+Precios!BC21*Precios!BC$3</f>
        <v>0</v>
      </c>
      <c r="BH23" s="12">
        <f>+Precios!BD21*$BH$3</f>
        <v>0</v>
      </c>
      <c r="BI23" s="12">
        <f>+Precios!BE21*Precios!BE$3</f>
        <v>0</v>
      </c>
      <c r="BJ23" s="12">
        <f>+Precios!BF21*Precios!BF$3</f>
        <v>0</v>
      </c>
      <c r="BK23" s="12">
        <f>+Precios!BG21*Precios!BG$3</f>
        <v>0</v>
      </c>
      <c r="BL23" s="12">
        <f>+Precios!BH21*Precios!BH$3</f>
        <v>0</v>
      </c>
      <c r="BM23" s="12">
        <f>+Precios!BI21*Precios!BI$3</f>
        <v>0</v>
      </c>
      <c r="BN23" s="12">
        <f>+Precios!BJ21*$BN$3</f>
        <v>0</v>
      </c>
      <c r="BO23" s="12">
        <f>+Precios!BK21*$BO$3</f>
        <v>0</v>
      </c>
      <c r="BP23" s="12">
        <f>+Precios!BL21*Precios!BL$3</f>
        <v>0</v>
      </c>
    </row>
    <row r="24" spans="1:68" ht="15" thickBot="1">
      <c r="A24" s="5">
        <f>+SUM(F24:XFD24)</f>
        <v>0</v>
      </c>
      <c r="B24" s="26"/>
      <c r="C24" s="5">
        <f t="shared" si="0"/>
        <v>10270.999999999995</v>
      </c>
      <c r="D24" s="5">
        <f>1000000+C24-Cost!A24</f>
        <v>1010271</v>
      </c>
      <c r="E24" s="15">
        <f>+Precios!A22</f>
        <v>46002</v>
      </c>
      <c r="F24" s="12">
        <f>+Precios!B22*Precios!B$3</f>
        <v>0</v>
      </c>
      <c r="G24" s="12">
        <f>+Precios!C22*Precios!C$3</f>
        <v>0</v>
      </c>
      <c r="H24" s="12">
        <f>+Precios!D22*Precios!D$3</f>
        <v>0</v>
      </c>
      <c r="I24" s="12">
        <f>+Precios!E22*Precios!E$3</f>
        <v>0</v>
      </c>
      <c r="J24" s="12">
        <f>+Precios!F22*Precios!F$3</f>
        <v>0</v>
      </c>
      <c r="K24" s="12">
        <f>+Precios!G22*Precios!G$3</f>
        <v>0</v>
      </c>
      <c r="L24" s="12">
        <f>+Precios!H22*Precios!H$3</f>
        <v>0</v>
      </c>
      <c r="M24" s="12">
        <f>+Precios!I22*Precios!I$3</f>
        <v>0</v>
      </c>
      <c r="N24" s="12">
        <f>+Precios!J22*Precios!J$3</f>
        <v>0</v>
      </c>
      <c r="O24" s="12">
        <f>+Precios!K22*Precios!K$3</f>
        <v>0</v>
      </c>
      <c r="P24" s="12">
        <f>+Precios!L22*Precios!L$3</f>
        <v>0</v>
      </c>
      <c r="Q24" s="12">
        <f>+Precios!M22*Precios!M$3</f>
        <v>0</v>
      </c>
      <c r="R24" s="12">
        <f>+Precios!N22*Precios!N$3</f>
        <v>0</v>
      </c>
      <c r="S24" s="12">
        <f>+Precios!O22*Precios!O$3</f>
        <v>0</v>
      </c>
      <c r="T24" s="12">
        <f>+Precios!P22*Precios!P$3</f>
        <v>0</v>
      </c>
      <c r="U24" s="12">
        <f>+Precios!Q22*Precios!Q$3</f>
        <v>0</v>
      </c>
      <c r="V24" s="12">
        <f>+Precios!R22*Precios!R$3</f>
        <v>0</v>
      </c>
      <c r="W24" s="12">
        <f>+Precios!S22*Precios!S$3</f>
        <v>0</v>
      </c>
      <c r="X24" s="12">
        <f>+Precios!T22*Precios!T$3</f>
        <v>0</v>
      </c>
      <c r="Y24" s="12">
        <f>+Precios!U22*Precios!U$3</f>
        <v>0</v>
      </c>
      <c r="Z24" s="12">
        <f>+Precios!V22*Precios!V$3</f>
        <v>0</v>
      </c>
      <c r="AA24" s="12">
        <f>+Precios!W22*Precios!W$3</f>
        <v>0</v>
      </c>
      <c r="AB24" s="12">
        <f>+Precios!X22*Precios!X$3</f>
        <v>0</v>
      </c>
      <c r="AC24" s="12">
        <f>+Precios!Y22*Precios!Y$3</f>
        <v>0</v>
      </c>
      <c r="AD24" s="12">
        <f>+Precios!Z22*Precios!Z$3</f>
        <v>0</v>
      </c>
      <c r="AE24" s="12">
        <f>+Precios!AA22*Precios!AA$3</f>
        <v>0</v>
      </c>
      <c r="AF24" s="12">
        <f>+Precios!AB22*Precios!AB$3</f>
        <v>0</v>
      </c>
      <c r="AG24" s="12">
        <f>+Precios!AC22*Precios!AC$3</f>
        <v>0</v>
      </c>
      <c r="AH24" s="12">
        <f>+Precios!AD22*Precios!AD$3</f>
        <v>0</v>
      </c>
      <c r="AI24" s="12">
        <f>+Precios!AE22*Precios!AE$3</f>
        <v>0</v>
      </c>
      <c r="AJ24" s="12">
        <f>+Precios!AF22*Precios!AF$3</f>
        <v>0</v>
      </c>
      <c r="AK24" s="12">
        <f>+Precios!AG22*Precios!AG$3</f>
        <v>0</v>
      </c>
      <c r="AL24" s="12">
        <f>+Precios!AH22*Precios!AH$3</f>
        <v>0</v>
      </c>
      <c r="AM24" s="12">
        <f>+Precios!AI22*Precios!AI$3</f>
        <v>0</v>
      </c>
      <c r="AN24" s="12">
        <f>+Precios!AJ22*Precios!AJ$3</f>
        <v>0</v>
      </c>
      <c r="AO24" s="12">
        <f>+Precios!AK22*Precios!AK$3</f>
        <v>0</v>
      </c>
      <c r="AP24" s="12">
        <f>+Precios!AL22*Precios!AL$3</f>
        <v>0</v>
      </c>
      <c r="AQ24" s="12">
        <f>+Precios!AM22*Precios!AM$3</f>
        <v>0</v>
      </c>
      <c r="AR24" s="12">
        <f>+Precios!AN22*Precios!AN$3</f>
        <v>0</v>
      </c>
      <c r="AS24" s="12">
        <f>+Precios!AO22*Precios!AO$3</f>
        <v>0</v>
      </c>
      <c r="AT24" s="12">
        <f>+Precios!AP22*Precios!AP$3</f>
        <v>0</v>
      </c>
      <c r="AU24" s="12">
        <f>+Precios!AQ22*Precios!AQ$3</f>
        <v>0</v>
      </c>
      <c r="AV24" s="12">
        <f>+Precios!AR22*Precios!AR$3</f>
        <v>0</v>
      </c>
      <c r="AW24" s="12">
        <f>+Precios!AS22*Precios!AS$3</f>
        <v>0</v>
      </c>
      <c r="AX24" s="12">
        <f>+Precios!AT22*Precios!AT$3</f>
        <v>0</v>
      </c>
      <c r="AY24" s="12">
        <f>+Precios!AU22*$AY$3</f>
        <v>0</v>
      </c>
      <c r="AZ24" s="12">
        <f>+Precios!AV22*Precios!AV$3</f>
        <v>0</v>
      </c>
      <c r="BA24" s="12">
        <f>+Precios!AW22*Precios!AW$3</f>
        <v>0</v>
      </c>
      <c r="BB24" s="12">
        <f>+Precios!AX22*Precios!AX$3</f>
        <v>0</v>
      </c>
      <c r="BC24" s="12">
        <f>+Precios!AY22*Precios!AY$3</f>
        <v>0</v>
      </c>
      <c r="BD24" s="12">
        <f>+Precios!AZ22*Precios!AZ$3</f>
        <v>0</v>
      </c>
      <c r="BE24" s="12">
        <f>+Precios!BA22*Precios!BA$3</f>
        <v>0</v>
      </c>
      <c r="BF24" s="12">
        <f>+Precios!BB22*Precios!BB$3</f>
        <v>0</v>
      </c>
      <c r="BG24" s="12">
        <f>+Precios!BC22*Precios!BC$3</f>
        <v>0</v>
      </c>
      <c r="BH24" s="12">
        <f>+Precios!BD22*$BH$3</f>
        <v>0</v>
      </c>
      <c r="BI24" s="12">
        <f>+Precios!BE22*Precios!BE$3</f>
        <v>0</v>
      </c>
      <c r="BJ24" s="12">
        <f>+Precios!BF22*Precios!BF$3</f>
        <v>0</v>
      </c>
      <c r="BK24" s="12">
        <f>+Precios!BG22*Precios!BG$3</f>
        <v>0</v>
      </c>
      <c r="BL24" s="12">
        <f>+Precios!BH22*Precios!BH$3</f>
        <v>0</v>
      </c>
      <c r="BM24" s="12">
        <f>+Precios!BI22*Precios!BI$3</f>
        <v>0</v>
      </c>
      <c r="BN24" s="12">
        <f>+Precios!BJ22*$BN$3</f>
        <v>0</v>
      </c>
      <c r="BO24" s="12">
        <f>+Precios!BK22*$BO$3</f>
        <v>0</v>
      </c>
      <c r="BP24" s="12">
        <f>+Precios!BL22*Precios!BL$3</f>
        <v>0</v>
      </c>
    </row>
    <row r="25" spans="1:68" ht="15" thickBot="1">
      <c r="A25" s="5">
        <f>+SUM(F25:XFD25)</f>
        <v>0</v>
      </c>
      <c r="B25" s="26">
        <f>+TRACK!M5+TRACK!M6+TRACK!M7+TRACK!M8</f>
        <v>-7096.3999999999951</v>
      </c>
      <c r="C25" s="5">
        <f t="shared" si="0"/>
        <v>3174.5999999999995</v>
      </c>
      <c r="D25" s="5">
        <f>1000000+C25-Cost!A25</f>
        <v>1003174.6</v>
      </c>
      <c r="E25" s="15">
        <f>+Precios!A23</f>
        <v>46003</v>
      </c>
      <c r="F25" s="12">
        <f>+Precios!B23*Precios!B$3</f>
        <v>0</v>
      </c>
      <c r="G25" s="12">
        <f>+Precios!C23*Precios!C$3</f>
        <v>0</v>
      </c>
      <c r="H25" s="12">
        <f>+Precios!D23*Precios!D$3</f>
        <v>0</v>
      </c>
      <c r="I25" s="12">
        <f>+Precios!E23*Precios!E$3</f>
        <v>0</v>
      </c>
      <c r="J25" s="12">
        <f>+Precios!F23*Precios!F$3</f>
        <v>0</v>
      </c>
      <c r="K25" s="12">
        <f>+Precios!G23*Precios!G$3</f>
        <v>0</v>
      </c>
      <c r="L25" s="12">
        <f>+Precios!H23*Precios!H$3</f>
        <v>0</v>
      </c>
      <c r="M25" s="12">
        <f>+Precios!I23*Precios!I$3</f>
        <v>0</v>
      </c>
      <c r="N25" s="12">
        <f>+Precios!J23*Precios!J$3</f>
        <v>0</v>
      </c>
      <c r="O25" s="12">
        <f>+Precios!K23*Precios!K$3</f>
        <v>0</v>
      </c>
      <c r="P25" s="12">
        <f>+Precios!L23*Precios!L$3</f>
        <v>0</v>
      </c>
      <c r="Q25" s="12">
        <f>+Precios!M23*Precios!M$3</f>
        <v>0</v>
      </c>
      <c r="R25" s="12">
        <f>+Precios!N23*Precios!N$3</f>
        <v>0</v>
      </c>
      <c r="S25" s="12">
        <f>+Precios!O23*Precios!O$3</f>
        <v>0</v>
      </c>
      <c r="T25" s="12">
        <f>+Precios!P23*Precios!P$3</f>
        <v>0</v>
      </c>
      <c r="U25" s="12">
        <f>+Precios!Q23*Precios!Q$3</f>
        <v>0</v>
      </c>
      <c r="V25" s="12">
        <f>+Precios!R23*Precios!R$3</f>
        <v>0</v>
      </c>
      <c r="W25" s="12">
        <f>+Precios!S23*Precios!S$3</f>
        <v>0</v>
      </c>
      <c r="X25" s="12">
        <f>+Precios!T23*Precios!T$3</f>
        <v>0</v>
      </c>
      <c r="Y25" s="12">
        <f>+Precios!U23*Precios!U$3</f>
        <v>0</v>
      </c>
      <c r="Z25" s="12">
        <f>+Precios!V23*Precios!V$3</f>
        <v>0</v>
      </c>
      <c r="AA25" s="12">
        <f>+Precios!W23*Precios!W$3</f>
        <v>0</v>
      </c>
      <c r="AB25" s="12">
        <f>+Precios!X23*Precios!X$3</f>
        <v>0</v>
      </c>
      <c r="AC25" s="12">
        <f>+Precios!Y23*Precios!Y$3</f>
        <v>0</v>
      </c>
      <c r="AD25" s="12">
        <f>+Precios!Z23*Precios!Z$3</f>
        <v>0</v>
      </c>
      <c r="AE25" s="12">
        <f>+Precios!AA23*Precios!AA$3</f>
        <v>0</v>
      </c>
      <c r="AF25" s="12">
        <f>+Precios!AB23*Precios!AB$3</f>
        <v>0</v>
      </c>
      <c r="AG25" s="12">
        <f>+Precios!AC23*Precios!AC$3</f>
        <v>0</v>
      </c>
      <c r="AH25" s="12">
        <f>+Precios!AD23*Precios!AD$3</f>
        <v>0</v>
      </c>
      <c r="AI25" s="12">
        <f>+Precios!AE23*Precios!AE$3</f>
        <v>0</v>
      </c>
      <c r="AJ25" s="12">
        <f>+Precios!AF23*Precios!AF$3</f>
        <v>0</v>
      </c>
      <c r="AK25" s="12">
        <f>+Precios!AG23*Precios!AG$3</f>
        <v>0</v>
      </c>
      <c r="AL25" s="12">
        <f>+Precios!AH23*Precios!AH$3</f>
        <v>0</v>
      </c>
      <c r="AM25" s="12">
        <f>+Precios!AI23*Precios!AI$3</f>
        <v>0</v>
      </c>
      <c r="AN25" s="12">
        <f>+Precios!AJ23*Precios!AJ$3</f>
        <v>0</v>
      </c>
      <c r="AO25" s="12">
        <f>+Precios!AK23*Precios!AK$3</f>
        <v>0</v>
      </c>
      <c r="AP25" s="12">
        <f>+Precios!AL23*Precios!AL$3</f>
        <v>0</v>
      </c>
      <c r="AQ25" s="12">
        <f>+Precios!AM23*Precios!AM$3</f>
        <v>0</v>
      </c>
      <c r="AR25" s="12">
        <f>+Precios!AN23*Precios!AN$3</f>
        <v>0</v>
      </c>
      <c r="AS25" s="12">
        <f>+Precios!AO23*Precios!AO$3</f>
        <v>0</v>
      </c>
      <c r="AT25" s="12">
        <f>+Precios!AP23*Precios!AP$3</f>
        <v>0</v>
      </c>
      <c r="AU25" s="12">
        <f>+Precios!AQ23*Precios!AQ$3</f>
        <v>0</v>
      </c>
      <c r="AV25" s="12">
        <f>+Precios!AR23*Precios!AR$3</f>
        <v>0</v>
      </c>
      <c r="AW25" s="12">
        <f>+Precios!AS23*Precios!AS$3</f>
        <v>0</v>
      </c>
      <c r="AX25" s="12">
        <f>+Precios!AT23*Precios!AT$3</f>
        <v>0</v>
      </c>
      <c r="AY25" s="12">
        <f>+Precios!AU23*$AY$3</f>
        <v>0</v>
      </c>
      <c r="AZ25" s="12">
        <f>+Precios!AV23*Precios!AV$3</f>
        <v>0</v>
      </c>
      <c r="BA25" s="12">
        <f>+Precios!AW23*Precios!AW$3</f>
        <v>0</v>
      </c>
      <c r="BB25" s="12">
        <f>+Precios!AX23*Precios!AX$3</f>
        <v>0</v>
      </c>
      <c r="BC25" s="12">
        <f>+Precios!AY23*Precios!AY$3</f>
        <v>0</v>
      </c>
      <c r="BD25" s="12">
        <f>+Precios!AZ23*Precios!AZ$3</f>
        <v>0</v>
      </c>
      <c r="BE25" s="12">
        <f>+Precios!BA23*Precios!BA$3</f>
        <v>0</v>
      </c>
      <c r="BF25" s="12">
        <f>+Precios!BB23*Precios!BB$3</f>
        <v>0</v>
      </c>
      <c r="BG25" s="12">
        <f>+Precios!BC23*Precios!BC$3</f>
        <v>0</v>
      </c>
      <c r="BH25" s="12">
        <f>+Precios!BD23*$BH$3</f>
        <v>0</v>
      </c>
      <c r="BI25" s="12">
        <f>+Precios!BE23*Precios!BE$3</f>
        <v>0</v>
      </c>
      <c r="BJ25" s="12">
        <f>+Precios!BF23*Precios!BF$3</f>
        <v>0</v>
      </c>
      <c r="BK25" s="12">
        <f>+Precios!BG23*Precios!BG$3</f>
        <v>0</v>
      </c>
      <c r="BL25" s="12">
        <f>+Precios!BH23*Precios!BH$3</f>
        <v>0</v>
      </c>
      <c r="BM25" s="12">
        <f>+Precios!BI23*Precios!BI$3</f>
        <v>0</v>
      </c>
      <c r="BN25" s="12">
        <f>+Precios!BJ23*$BN$3</f>
        <v>0</v>
      </c>
      <c r="BO25" s="12">
        <f>+Precios!BK23*$BO$3</f>
        <v>0</v>
      </c>
      <c r="BP25" s="12">
        <f>+Precios!BL23*Precios!BL$3</f>
        <v>0</v>
      </c>
    </row>
    <row r="26" spans="1:68" ht="15" thickBot="1">
      <c r="A26" s="5">
        <f>+SUM(F26:XFD26)</f>
        <v>0</v>
      </c>
      <c r="B26" s="26">
        <f>+TRACK!M9+TRACK!M10</f>
        <v>14519.000000000007</v>
      </c>
      <c r="C26" s="5">
        <f t="shared" si="0"/>
        <v>17693.600000000006</v>
      </c>
      <c r="D26" s="5">
        <f>1000000+C26-Cost!A26</f>
        <v>1017693.6</v>
      </c>
      <c r="E26" s="15">
        <f>+Precios!A24</f>
        <v>46006</v>
      </c>
      <c r="F26" s="12">
        <f>+Precios!B24*Precios!B$3</f>
        <v>0</v>
      </c>
      <c r="G26" s="12">
        <f>+Precios!C24*Precios!C$3</f>
        <v>0</v>
      </c>
      <c r="H26" s="12">
        <f>+Precios!D24*Precios!D$3</f>
        <v>0</v>
      </c>
      <c r="I26" s="12">
        <f>+Precios!E24*Precios!E$3</f>
        <v>0</v>
      </c>
      <c r="J26" s="12">
        <f>+Precios!F24*Precios!F$3</f>
        <v>0</v>
      </c>
      <c r="K26" s="12">
        <f>+Precios!G24*Precios!G$3</f>
        <v>0</v>
      </c>
      <c r="L26" s="12">
        <f>+Precios!H24*Precios!H$3</f>
        <v>0</v>
      </c>
      <c r="M26" s="12">
        <f>+Precios!I24*Precios!I$3</f>
        <v>0</v>
      </c>
      <c r="N26" s="12">
        <f>+Precios!J24*Precios!J$3</f>
        <v>0</v>
      </c>
      <c r="O26" s="12">
        <f>+Precios!K24*Precios!K$3</f>
        <v>0</v>
      </c>
      <c r="P26" s="12">
        <f>+Precios!L24*Precios!L$3</f>
        <v>0</v>
      </c>
      <c r="Q26" s="12">
        <f>+Precios!M24*Precios!M$3</f>
        <v>0</v>
      </c>
      <c r="R26" s="12">
        <f>+Precios!N24*Precios!N$3</f>
        <v>0</v>
      </c>
      <c r="S26" s="12">
        <f>+Precios!O24*Precios!O$3</f>
        <v>0</v>
      </c>
      <c r="T26" s="12">
        <f>+Precios!P24*Precios!P$3</f>
        <v>0</v>
      </c>
      <c r="U26" s="12">
        <f>+Precios!Q24*Precios!Q$3</f>
        <v>0</v>
      </c>
      <c r="V26" s="12">
        <f>+Precios!R24*Precios!R$3</f>
        <v>0</v>
      </c>
      <c r="W26" s="12">
        <f>+Precios!S24*Precios!S$3</f>
        <v>0</v>
      </c>
      <c r="X26" s="12">
        <f>+Precios!T24*Precios!T$3</f>
        <v>0</v>
      </c>
      <c r="Y26" s="12">
        <f>+Precios!U24*Precios!U$3</f>
        <v>0</v>
      </c>
      <c r="Z26" s="12">
        <f>+Precios!V24*Precios!V$3</f>
        <v>0</v>
      </c>
      <c r="AA26" s="12">
        <f>+Precios!W24*Precios!W$3</f>
        <v>0</v>
      </c>
      <c r="AB26" s="12">
        <f>+Precios!X24*Precios!X$3</f>
        <v>0</v>
      </c>
      <c r="AC26" s="12">
        <f>+Precios!Y24*Precios!Y$3</f>
        <v>0</v>
      </c>
      <c r="AD26" s="12">
        <f>+Precios!Z24*Precios!Z$3</f>
        <v>0</v>
      </c>
      <c r="AE26" s="12">
        <f>+Precios!AA24*Precios!AA$3</f>
        <v>0</v>
      </c>
      <c r="AF26" s="12">
        <f>+Precios!AB24*Precios!AB$3</f>
        <v>0</v>
      </c>
      <c r="AG26" s="12">
        <f>+Precios!AC24*Precios!AC$3</f>
        <v>0</v>
      </c>
      <c r="AH26" s="12">
        <f>+Precios!AD24*Precios!AD$3</f>
        <v>0</v>
      </c>
      <c r="AI26" s="12">
        <f>+Precios!AE24*Precios!AE$3</f>
        <v>0</v>
      </c>
      <c r="AJ26" s="12">
        <f>+Precios!AF24*Precios!AF$3</f>
        <v>0</v>
      </c>
      <c r="AK26" s="12">
        <f>+Precios!AG24*Precios!AG$3</f>
        <v>0</v>
      </c>
      <c r="AL26" s="12">
        <f>+Precios!AH24*Precios!AH$3</f>
        <v>0</v>
      </c>
      <c r="AM26" s="12">
        <f>+Precios!AI24*Precios!AI$3</f>
        <v>0</v>
      </c>
      <c r="AN26" s="12">
        <f>+Precios!AJ24*Precios!AJ$3</f>
        <v>0</v>
      </c>
      <c r="AO26" s="12">
        <f>+Precios!AK24*Precios!AK$3</f>
        <v>0</v>
      </c>
      <c r="AP26" s="12">
        <f>+Precios!AL24*Precios!AL$3</f>
        <v>0</v>
      </c>
      <c r="AQ26" s="12">
        <f>+Precios!AM24*Precios!AM$3</f>
        <v>0</v>
      </c>
      <c r="AR26" s="12">
        <f>+Precios!AN24*Precios!AN$3</f>
        <v>0</v>
      </c>
      <c r="AS26" s="12">
        <f>+Precios!AO24*Precios!AO$3</f>
        <v>0</v>
      </c>
      <c r="AT26" s="12">
        <f>+Precios!AP24*Precios!AP$3</f>
        <v>0</v>
      </c>
      <c r="AU26" s="12">
        <f>+Precios!AQ24*Precios!AQ$3</f>
        <v>0</v>
      </c>
      <c r="AV26" s="12">
        <f>+Precios!AR24*Precios!AR$3</f>
        <v>0</v>
      </c>
      <c r="AW26" s="12">
        <f>+Precios!AS24*Precios!AS$3</f>
        <v>0</v>
      </c>
      <c r="AX26" s="12">
        <f>+Precios!AT24*Precios!AT$3</f>
        <v>0</v>
      </c>
      <c r="AY26" s="12">
        <f>+Precios!AU24*$AY$3</f>
        <v>0</v>
      </c>
      <c r="AZ26" s="12">
        <f>+Precios!AV24*Precios!AV$3</f>
        <v>0</v>
      </c>
      <c r="BA26" s="12">
        <f>+Precios!AW24*Precios!AW$3</f>
        <v>0</v>
      </c>
      <c r="BB26" s="12">
        <f>+Precios!AX24*Precios!AX$3</f>
        <v>0</v>
      </c>
      <c r="BC26" s="12">
        <f>+Precios!AY24*Precios!AY$3</f>
        <v>0</v>
      </c>
      <c r="BD26" s="12">
        <f>+Precios!AZ24*Precios!AZ$3</f>
        <v>0</v>
      </c>
      <c r="BE26" s="12">
        <f>+Precios!BA24*Precios!BA$3</f>
        <v>0</v>
      </c>
      <c r="BF26" s="12">
        <f>+Precios!BB24*Precios!BB$3</f>
        <v>0</v>
      </c>
      <c r="BG26" s="12">
        <f>+Precios!BC24*Precios!BC$3</f>
        <v>0</v>
      </c>
      <c r="BH26" s="12">
        <f>+Precios!BD24*$BH$3</f>
        <v>0</v>
      </c>
      <c r="BI26" s="12">
        <f>+Precios!BE24*Precios!BE$3</f>
        <v>0</v>
      </c>
      <c r="BJ26" s="12">
        <f>+Precios!BF24*Precios!BF$3</f>
        <v>0</v>
      </c>
      <c r="BK26" s="12">
        <f>+Precios!BG24*Precios!BG$3</f>
        <v>0</v>
      </c>
      <c r="BL26" s="12">
        <f>+Precios!BH24*Precios!BH$3</f>
        <v>0</v>
      </c>
      <c r="BM26" s="12">
        <f>+Precios!BI24*Precios!BI$3</f>
        <v>0</v>
      </c>
      <c r="BN26" s="12">
        <f>+Precios!BJ24*$BN$3</f>
        <v>0</v>
      </c>
      <c r="BO26" s="12">
        <f>+Precios!BK24*$BO$3</f>
        <v>0</v>
      </c>
      <c r="BP26" s="12">
        <f>+Precios!BL24*Precios!BL$3</f>
        <v>0</v>
      </c>
    </row>
    <row r="27" spans="1:68" ht="15" thickBot="1">
      <c r="A27" s="5">
        <f>+SUM(F27:XFD27)</f>
        <v>0</v>
      </c>
      <c r="B27" s="26">
        <f>+TRACK!M11+TRACK!M12+TRACK!M13</f>
        <v>-4386.4100000000035</v>
      </c>
      <c r="C27" s="5">
        <f t="shared" si="0"/>
        <v>13307.190000000002</v>
      </c>
      <c r="D27" s="5">
        <f>1000000+C27-Cost!A27</f>
        <v>1013307.19</v>
      </c>
      <c r="E27" s="15">
        <f>+Precios!A25</f>
        <v>46007</v>
      </c>
      <c r="F27" s="12">
        <f>+Precios!B25*Precios!B$3</f>
        <v>0</v>
      </c>
      <c r="G27" s="12">
        <f>+Precios!C25*Precios!C$3</f>
        <v>0</v>
      </c>
      <c r="H27" s="12">
        <f>+Precios!D25*Precios!D$3</f>
        <v>0</v>
      </c>
      <c r="I27" s="12">
        <f>+Precios!E25*Precios!E$3</f>
        <v>0</v>
      </c>
      <c r="J27" s="12">
        <f>+Precios!F25*Precios!F$3</f>
        <v>0</v>
      </c>
      <c r="K27" s="12">
        <f>+Precios!G25*Precios!G$3</f>
        <v>0</v>
      </c>
      <c r="L27" s="12">
        <f>+Precios!H25*Precios!H$3</f>
        <v>0</v>
      </c>
      <c r="M27" s="12">
        <f>+Precios!I25*Precios!I$3</f>
        <v>0</v>
      </c>
      <c r="N27" s="12">
        <f>+Precios!J25*Precios!J$3</f>
        <v>0</v>
      </c>
      <c r="O27" s="12">
        <f>+Precios!K25*Precios!K$3</f>
        <v>0</v>
      </c>
      <c r="P27" s="12">
        <f>+Precios!L25*Precios!L$3</f>
        <v>0</v>
      </c>
      <c r="Q27" s="12">
        <f>+Precios!M25*Precios!M$3</f>
        <v>0</v>
      </c>
      <c r="R27" s="12">
        <f>+Precios!N25*Precios!N$3</f>
        <v>0</v>
      </c>
      <c r="S27" s="12">
        <f>+Precios!O25*Precios!O$3</f>
        <v>0</v>
      </c>
      <c r="T27" s="12">
        <f>+Precios!P25*Precios!P$3</f>
        <v>0</v>
      </c>
      <c r="U27" s="12">
        <f>+Precios!Q25*Precios!Q$3</f>
        <v>0</v>
      </c>
      <c r="V27" s="12">
        <f>+Precios!R25*Precios!R$3</f>
        <v>0</v>
      </c>
      <c r="W27" s="12">
        <f>+Precios!S25*Precios!S$3</f>
        <v>0</v>
      </c>
      <c r="X27" s="12">
        <f>+Precios!T25*Precios!T$3</f>
        <v>0</v>
      </c>
      <c r="Y27" s="12">
        <f>+Precios!U25*Precios!U$3</f>
        <v>0</v>
      </c>
      <c r="Z27" s="12">
        <f>+Precios!V25*Precios!V$3</f>
        <v>0</v>
      </c>
      <c r="AA27" s="12">
        <f>+Precios!W25*Precios!W$3</f>
        <v>0</v>
      </c>
      <c r="AB27" s="12">
        <f>+Precios!X25*Precios!X$3</f>
        <v>0</v>
      </c>
      <c r="AC27" s="12">
        <f>+Precios!Y25*Precios!Y$3</f>
        <v>0</v>
      </c>
      <c r="AD27" s="12">
        <f>+Precios!Z25*Precios!Z$3</f>
        <v>0</v>
      </c>
      <c r="AE27" s="12">
        <f>+Precios!AA25*Precios!AA$3</f>
        <v>0</v>
      </c>
      <c r="AF27" s="12">
        <f>+Precios!AB25*Precios!AB$3</f>
        <v>0</v>
      </c>
      <c r="AG27" s="12">
        <f>+Precios!AC25*Precios!AC$3</f>
        <v>0</v>
      </c>
      <c r="AH27" s="12">
        <f>+Precios!AD25*Precios!AD$3</f>
        <v>0</v>
      </c>
      <c r="AI27" s="12">
        <f>+Precios!AE25*Precios!AE$3</f>
        <v>0</v>
      </c>
      <c r="AJ27" s="12">
        <f>+Precios!AF25*Precios!AF$3</f>
        <v>0</v>
      </c>
      <c r="AK27" s="12">
        <f>+Precios!AG25*Precios!AG$3</f>
        <v>0</v>
      </c>
      <c r="AL27" s="12">
        <f>+Precios!AH25*Precios!AH$3</f>
        <v>0</v>
      </c>
      <c r="AM27" s="12">
        <f>+Precios!AI25*Precios!AI$3</f>
        <v>0</v>
      </c>
      <c r="AN27" s="12">
        <f>+Precios!AJ25*Precios!AJ$3</f>
        <v>0</v>
      </c>
      <c r="AO27" s="12">
        <f>+Precios!AK25*Precios!AK$3</f>
        <v>0</v>
      </c>
      <c r="AP27" s="12">
        <f>+Precios!AL25*Precios!AL$3</f>
        <v>0</v>
      </c>
      <c r="AQ27" s="12">
        <f>+Precios!AM25*Precios!AM$3</f>
        <v>0</v>
      </c>
      <c r="AR27" s="12">
        <f>+Precios!AN25*Precios!AN$3</f>
        <v>0</v>
      </c>
      <c r="AS27" s="12">
        <f>+Precios!AO25*Precios!AO$3</f>
        <v>0</v>
      </c>
      <c r="AT27" s="12">
        <f>+Precios!AP25*Precios!AP$3</f>
        <v>0</v>
      </c>
      <c r="AU27" s="12">
        <f>+Precios!AQ25*Precios!AQ$3</f>
        <v>0</v>
      </c>
      <c r="AV27" s="12">
        <f>+Precios!AR25*Precios!AR$3</f>
        <v>0</v>
      </c>
      <c r="AW27" s="12">
        <f>+Precios!AS25*Precios!AS$3</f>
        <v>0</v>
      </c>
      <c r="AX27" s="12">
        <f>+Precios!AT25*Precios!AT$3</f>
        <v>0</v>
      </c>
      <c r="AY27" s="12">
        <f>+Precios!AU25*$AY$3</f>
        <v>0</v>
      </c>
      <c r="AZ27" s="12">
        <f>+Precios!AV25*Precios!AV$3</f>
        <v>0</v>
      </c>
      <c r="BA27" s="12">
        <f>+Precios!AW25*Precios!AW$3</f>
        <v>0</v>
      </c>
      <c r="BB27" s="12">
        <f>+Precios!AX25*Precios!AX$3</f>
        <v>0</v>
      </c>
      <c r="BC27" s="12">
        <f>+Precios!AY25*Precios!AY$3</f>
        <v>0</v>
      </c>
      <c r="BD27" s="12">
        <f>+Precios!AZ25*Precios!AZ$3</f>
        <v>0</v>
      </c>
      <c r="BE27" s="12">
        <f>+Precios!BA25*Precios!BA$3</f>
        <v>0</v>
      </c>
      <c r="BF27" s="12">
        <f>+Precios!BB25*Precios!BB$3</f>
        <v>0</v>
      </c>
      <c r="BG27" s="12">
        <f>+Precios!BC25*Precios!BC$3</f>
        <v>0</v>
      </c>
      <c r="BH27" s="12">
        <f>+Precios!BD25*$BH$3</f>
        <v>0</v>
      </c>
      <c r="BI27" s="12">
        <f>+Precios!BE25*Precios!BE$3</f>
        <v>0</v>
      </c>
      <c r="BJ27" s="12">
        <f>+Precios!BF25*Precios!BF$3</f>
        <v>0</v>
      </c>
      <c r="BK27" s="12">
        <f>+Precios!BG25*Precios!BG$3</f>
        <v>0</v>
      </c>
      <c r="BL27" s="12">
        <f>+Precios!BH25*Precios!BH$3</f>
        <v>0</v>
      </c>
      <c r="BM27" s="12">
        <f>+Precios!BI25*Precios!BI$3</f>
        <v>0</v>
      </c>
      <c r="BN27" s="12">
        <f>+Precios!BJ25*$BN$3</f>
        <v>0</v>
      </c>
      <c r="BO27" s="12">
        <f>+Precios!BK25*$BO$3</f>
        <v>0</v>
      </c>
      <c r="BP27" s="12">
        <f>+Precios!BL25*Precios!BL$3</f>
        <v>0</v>
      </c>
    </row>
    <row r="28" spans="1:68" ht="15" thickBot="1">
      <c r="A28" s="5">
        <f>+SUM(F28:XFD28)</f>
        <v>0</v>
      </c>
      <c r="B28" s="26">
        <f>+TRACK!M14+TRACK!M15</f>
        <v>-7725.0000000000009</v>
      </c>
      <c r="C28" s="5">
        <f t="shared" si="0"/>
        <v>5582.1900000000014</v>
      </c>
      <c r="D28" s="5">
        <f>1000000+C28-Cost!A28</f>
        <v>1005582.19</v>
      </c>
      <c r="E28" s="15">
        <f>+Precios!A26</f>
        <v>46008</v>
      </c>
      <c r="F28" s="12">
        <f>+Precios!B26*Precios!B$3</f>
        <v>0</v>
      </c>
      <c r="G28" s="12">
        <f>+Precios!C26*Precios!C$3</f>
        <v>0</v>
      </c>
      <c r="H28" s="12">
        <f>+Precios!D26*Precios!D$3</f>
        <v>0</v>
      </c>
      <c r="I28" s="12">
        <f>+Precios!E26*Precios!E$3</f>
        <v>0</v>
      </c>
      <c r="J28" s="12">
        <f>+Precios!F26*Precios!F$3</f>
        <v>0</v>
      </c>
      <c r="K28" s="12">
        <f>+Precios!G26*Precios!G$3</f>
        <v>0</v>
      </c>
      <c r="L28" s="12">
        <f>+Precios!H26*Precios!H$3</f>
        <v>0</v>
      </c>
      <c r="M28" s="12">
        <f>+Precios!I26*Precios!I$3</f>
        <v>0</v>
      </c>
      <c r="N28" s="12">
        <f>+Precios!J26*Precios!J$3</f>
        <v>0</v>
      </c>
      <c r="O28" s="12">
        <f>+Precios!K26*Precios!K$3</f>
        <v>0</v>
      </c>
      <c r="P28" s="12">
        <f>+Precios!L26*Precios!L$3</f>
        <v>0</v>
      </c>
      <c r="Q28" s="12">
        <f>+Precios!M26*Precios!M$3</f>
        <v>0</v>
      </c>
      <c r="R28" s="12">
        <f>+Precios!N26*Precios!N$3</f>
        <v>0</v>
      </c>
      <c r="S28" s="12">
        <f>+Precios!O26*Precios!O$3</f>
        <v>0</v>
      </c>
      <c r="T28" s="12">
        <f>+Precios!P26*Precios!P$3</f>
        <v>0</v>
      </c>
      <c r="U28" s="12">
        <f>+Precios!Q26*Precios!Q$3</f>
        <v>0</v>
      </c>
      <c r="V28" s="12">
        <f>+Precios!R26*Precios!R$3</f>
        <v>0</v>
      </c>
      <c r="W28" s="12">
        <f>+Precios!S26*Precios!S$3</f>
        <v>0</v>
      </c>
      <c r="X28" s="12">
        <f>+Precios!T26*Precios!T$3</f>
        <v>0</v>
      </c>
      <c r="Y28" s="12">
        <f>+Precios!U26*Precios!U$3</f>
        <v>0</v>
      </c>
      <c r="Z28" s="12">
        <f>+Precios!V26*Precios!V$3</f>
        <v>0</v>
      </c>
      <c r="AA28" s="12">
        <f>+Precios!W26*Precios!W$3</f>
        <v>0</v>
      </c>
      <c r="AB28" s="12">
        <f>+Precios!X26*Precios!X$3</f>
        <v>0</v>
      </c>
      <c r="AC28" s="12">
        <f>+Precios!Y26*Precios!Y$3</f>
        <v>0</v>
      </c>
      <c r="AD28" s="12">
        <f>+Precios!Z26*Precios!Z$3</f>
        <v>0</v>
      </c>
      <c r="AE28" s="12">
        <f>+Precios!AA26*Precios!AA$3</f>
        <v>0</v>
      </c>
      <c r="AF28" s="12">
        <f>+Precios!AB26*Precios!AB$3</f>
        <v>0</v>
      </c>
      <c r="AG28" s="12">
        <f>+Precios!AC26*Precios!AC$3</f>
        <v>0</v>
      </c>
      <c r="AH28" s="12">
        <f>+Precios!AD26*Precios!AD$3</f>
        <v>0</v>
      </c>
      <c r="AI28" s="12">
        <f>+Precios!AE26*Precios!AE$3</f>
        <v>0</v>
      </c>
      <c r="AJ28" s="12">
        <f>+Precios!AF26*Precios!AF$3</f>
        <v>0</v>
      </c>
      <c r="AK28" s="12">
        <f>+Precios!AG26*Precios!AG$3</f>
        <v>0</v>
      </c>
      <c r="AL28" s="12">
        <f>+Precios!AH26*Precios!AH$3</f>
        <v>0</v>
      </c>
      <c r="AM28" s="12">
        <f>+Precios!AI26*Precios!AI$3</f>
        <v>0</v>
      </c>
      <c r="AN28" s="12">
        <f>+Precios!AJ26*Precios!AJ$3</f>
        <v>0</v>
      </c>
      <c r="AO28" s="12">
        <f>+Precios!AK26*Precios!AK$3</f>
        <v>0</v>
      </c>
      <c r="AP28" s="12">
        <f>+Precios!AL26*Precios!AL$3</f>
        <v>0</v>
      </c>
      <c r="AQ28" s="12">
        <f>+Precios!AM26*Precios!AM$3</f>
        <v>0</v>
      </c>
      <c r="AR28" s="12">
        <f>+Precios!AN26*Precios!AN$3</f>
        <v>0</v>
      </c>
      <c r="AS28" s="12">
        <f>+Precios!AO26*Precios!AO$3</f>
        <v>0</v>
      </c>
      <c r="AT28" s="12">
        <f>+Precios!AP26*Precios!AP$3</f>
        <v>0</v>
      </c>
      <c r="AU28" s="12">
        <f>+Precios!AQ26*Precios!AQ$3</f>
        <v>0</v>
      </c>
      <c r="AV28" s="12">
        <f>+Precios!AR26*Precios!AR$3</f>
        <v>0</v>
      </c>
      <c r="AW28" s="12">
        <f>+Precios!AS26*Precios!AS$3</f>
        <v>0</v>
      </c>
      <c r="AX28" s="12">
        <f>+Precios!AT26*Precios!AT$3</f>
        <v>0</v>
      </c>
      <c r="AY28" s="12">
        <f>+Precios!AU26*$AY$3</f>
        <v>0</v>
      </c>
      <c r="AZ28" s="12">
        <f>+Precios!AV26*Precios!AV$3</f>
        <v>0</v>
      </c>
      <c r="BA28" s="12">
        <f>+Precios!AW26*Precios!AW$3</f>
        <v>0</v>
      </c>
      <c r="BB28" s="12">
        <f>+Precios!AX26*Precios!AX$3</f>
        <v>0</v>
      </c>
      <c r="BC28" s="12">
        <f>+Precios!AY26*Precios!AY$3</f>
        <v>0</v>
      </c>
      <c r="BD28" s="12">
        <f>+Precios!AZ26*Precios!AZ$3</f>
        <v>0</v>
      </c>
      <c r="BE28" s="12">
        <f>+Precios!BA26*Precios!BA$3</f>
        <v>0</v>
      </c>
      <c r="BF28" s="12">
        <f>+Precios!BB26*Precios!BB$3</f>
        <v>0</v>
      </c>
      <c r="BG28" s="12">
        <f>+Precios!BC26*Precios!BC$3</f>
        <v>0</v>
      </c>
      <c r="BH28" s="12">
        <f>+Precios!BD26*$BH$3</f>
        <v>0</v>
      </c>
      <c r="BI28" s="12">
        <f>+Precios!BE26*Precios!BE$3</f>
        <v>0</v>
      </c>
      <c r="BJ28" s="12">
        <f>+Precios!BF26*Precios!BF$3</f>
        <v>0</v>
      </c>
      <c r="BK28" s="12">
        <f>+Precios!BG26*Precios!BG$3</f>
        <v>0</v>
      </c>
      <c r="BL28" s="12">
        <f>+Precios!BH26*Precios!BH$3</f>
        <v>0</v>
      </c>
      <c r="BM28" s="12">
        <f>+Precios!BI26*Precios!BI$3</f>
        <v>0</v>
      </c>
      <c r="BN28" s="12">
        <f>+Precios!BJ26*$BN$3</f>
        <v>0</v>
      </c>
      <c r="BO28" s="12">
        <f>+Precios!BK26*$BO$3</f>
        <v>0</v>
      </c>
      <c r="BP28" s="12">
        <f>+Precios!BL26*Precios!BL$3</f>
        <v>0</v>
      </c>
    </row>
    <row r="29" spans="1:68" ht="15" thickBot="1">
      <c r="A29" s="5">
        <f>+SUM(F29:XFD29)</f>
        <v>0</v>
      </c>
      <c r="B29" s="26"/>
      <c r="C29" s="5">
        <f t="shared" si="0"/>
        <v>5582.1900000000014</v>
      </c>
      <c r="D29" s="5">
        <f>1000000+C29-Cost!A29</f>
        <v>1005582.19</v>
      </c>
      <c r="E29" s="15">
        <f>+Precios!A27</f>
        <v>46009</v>
      </c>
      <c r="F29" s="12">
        <f>+Precios!B27*Precios!B$3</f>
        <v>0</v>
      </c>
      <c r="G29" s="12">
        <f>+Precios!C27*Precios!C$3</f>
        <v>0</v>
      </c>
      <c r="H29" s="12">
        <f>+Precios!D27*Precios!D$3</f>
        <v>0</v>
      </c>
      <c r="I29" s="12">
        <f>+Precios!E27*Precios!E$3</f>
        <v>0</v>
      </c>
      <c r="J29" s="12">
        <f>+Precios!F27*Precios!F$3</f>
        <v>0</v>
      </c>
      <c r="K29" s="12">
        <f>+Precios!G27*Precios!G$3</f>
        <v>0</v>
      </c>
      <c r="L29" s="12">
        <f>+Precios!H27*Precios!H$3</f>
        <v>0</v>
      </c>
      <c r="M29" s="12">
        <f>+Precios!I27*Precios!I$3</f>
        <v>0</v>
      </c>
      <c r="N29" s="12">
        <f>+Precios!J27*Precios!J$3</f>
        <v>0</v>
      </c>
      <c r="O29" s="12">
        <f>+Precios!K27*Precios!K$3</f>
        <v>0</v>
      </c>
      <c r="P29" s="12">
        <f>+Precios!L27*Precios!L$3</f>
        <v>0</v>
      </c>
      <c r="Q29" s="12">
        <f>+Precios!M27*Precios!M$3</f>
        <v>0</v>
      </c>
      <c r="R29" s="12">
        <f>+Precios!N27*Precios!N$3</f>
        <v>0</v>
      </c>
      <c r="S29" s="12">
        <f>+Precios!O27*Precios!O$3</f>
        <v>0</v>
      </c>
      <c r="T29" s="12">
        <f>+Precios!P27*Precios!P$3</f>
        <v>0</v>
      </c>
      <c r="U29" s="12">
        <f>+Precios!Q27*Precios!Q$3</f>
        <v>0</v>
      </c>
      <c r="V29" s="12">
        <f>+Precios!R27*Precios!R$3</f>
        <v>0</v>
      </c>
      <c r="W29" s="12">
        <f>+Precios!S27*Precios!S$3</f>
        <v>0</v>
      </c>
      <c r="X29" s="12">
        <f>+Precios!T27*Precios!T$3</f>
        <v>0</v>
      </c>
      <c r="Y29" s="12">
        <f>+Precios!U27*Precios!U$3</f>
        <v>0</v>
      </c>
      <c r="Z29" s="12">
        <f>+Precios!V27*Precios!V$3</f>
        <v>0</v>
      </c>
      <c r="AA29" s="12">
        <f>+Precios!W27*Precios!W$3</f>
        <v>0</v>
      </c>
      <c r="AB29" s="12">
        <f>+Precios!X27*Precios!X$3</f>
        <v>0</v>
      </c>
      <c r="AC29" s="12">
        <f>+Precios!Y27*Precios!Y$3</f>
        <v>0</v>
      </c>
      <c r="AD29" s="12">
        <f>+Precios!Z27*Precios!Z$3</f>
        <v>0</v>
      </c>
      <c r="AE29" s="12">
        <f>+Precios!AA27*Precios!AA$3</f>
        <v>0</v>
      </c>
      <c r="AF29" s="12">
        <f>+Precios!AB27*Precios!AB$3</f>
        <v>0</v>
      </c>
      <c r="AG29" s="12">
        <f>+Precios!AC27*Precios!AC$3</f>
        <v>0</v>
      </c>
      <c r="AH29" s="12">
        <f>+Precios!AD27*Precios!AD$3</f>
        <v>0</v>
      </c>
      <c r="AI29" s="12">
        <f>+Precios!AE27*Precios!AE$3</f>
        <v>0</v>
      </c>
      <c r="AJ29" s="12">
        <f>+Precios!AF27*Precios!AF$3</f>
        <v>0</v>
      </c>
      <c r="AK29" s="12">
        <f>+Precios!AG27*Precios!AG$3</f>
        <v>0</v>
      </c>
      <c r="AL29" s="12">
        <f>+Precios!AH27*Precios!AH$3</f>
        <v>0</v>
      </c>
      <c r="AM29" s="12">
        <f>+Precios!AI27*Precios!AI$3</f>
        <v>0</v>
      </c>
      <c r="AN29" s="12">
        <f>+Precios!AJ27*Precios!AJ$3</f>
        <v>0</v>
      </c>
      <c r="AO29" s="12">
        <f>+Precios!AK27*Precios!AK$3</f>
        <v>0</v>
      </c>
      <c r="AP29" s="12">
        <f>+Precios!AL27*Precios!AL$3</f>
        <v>0</v>
      </c>
      <c r="AQ29" s="12">
        <f>+Precios!AM27*Precios!AM$3</f>
        <v>0</v>
      </c>
      <c r="AR29" s="12">
        <f>+Precios!AN27*Precios!AN$3</f>
        <v>0</v>
      </c>
      <c r="AS29" s="12">
        <f>+Precios!AO27*Precios!AO$3</f>
        <v>0</v>
      </c>
      <c r="AT29" s="12">
        <f>+Precios!AP27*Precios!AP$3</f>
        <v>0</v>
      </c>
      <c r="AU29" s="12">
        <f>+Precios!AQ27*Precios!AQ$3</f>
        <v>0</v>
      </c>
      <c r="AV29" s="12">
        <f>+Precios!AR27*Precios!AR$3</f>
        <v>0</v>
      </c>
      <c r="AW29" s="12">
        <f>+Precios!AS27*Precios!AS$3</f>
        <v>0</v>
      </c>
      <c r="AX29" s="12">
        <f>+Precios!AT27*Precios!AT$3</f>
        <v>0</v>
      </c>
      <c r="AY29" s="12">
        <f>+Precios!AU27*$AY$3</f>
        <v>0</v>
      </c>
      <c r="AZ29" s="12">
        <f>+Precios!AV27*Precios!AV$3</f>
        <v>0</v>
      </c>
      <c r="BA29" s="12">
        <f>+Precios!AW27*Precios!AW$3</f>
        <v>0</v>
      </c>
      <c r="BB29" s="12">
        <f>+Precios!AX27*Precios!AX$3</f>
        <v>0</v>
      </c>
      <c r="BC29" s="12">
        <f>+Precios!AY27*Precios!AY$3</f>
        <v>0</v>
      </c>
      <c r="BD29" s="12">
        <f>+Precios!AZ27*Precios!AZ$3</f>
        <v>0</v>
      </c>
      <c r="BE29" s="12">
        <f>+Precios!BA27*Precios!BA$3</f>
        <v>0</v>
      </c>
      <c r="BF29" s="12">
        <f>+Precios!BB27*Precios!BB$3</f>
        <v>0</v>
      </c>
      <c r="BG29" s="12">
        <f>+Precios!BC27*Precios!BC$3</f>
        <v>0</v>
      </c>
      <c r="BH29" s="12">
        <f>+Precios!BD27*$BH$3</f>
        <v>0</v>
      </c>
      <c r="BI29" s="12">
        <f>+Precios!BE27*Precios!BE$3</f>
        <v>0</v>
      </c>
      <c r="BJ29" s="12">
        <f>+Precios!BF27*Precios!BF$3</f>
        <v>0</v>
      </c>
      <c r="BK29" s="12">
        <f>+Precios!BG27*Precios!BG$3</f>
        <v>0</v>
      </c>
      <c r="BL29" s="12">
        <f>+Precios!BH27*Precios!BH$3</f>
        <v>0</v>
      </c>
      <c r="BM29" s="12">
        <f>+Precios!BI27*Precios!BI$3</f>
        <v>0</v>
      </c>
      <c r="BN29" s="12">
        <f>+Precios!BJ27*$BN$3</f>
        <v>0</v>
      </c>
      <c r="BO29" s="12">
        <f>+Precios!BK27*$BO$3</f>
        <v>0</v>
      </c>
      <c r="BP29" s="12">
        <f>+Precios!BL27*Precios!BL$3</f>
        <v>0</v>
      </c>
    </row>
    <row r="30" spans="1:68" ht="15" thickBot="1">
      <c r="A30" s="5">
        <f>+SUM(F30:XFD30)</f>
        <v>0</v>
      </c>
      <c r="B30" s="26"/>
      <c r="C30" s="5">
        <f t="shared" si="0"/>
        <v>5582.1900000000014</v>
      </c>
      <c r="D30" s="5">
        <f>1000000+C30-Cost!A30</f>
        <v>1005582.19</v>
      </c>
      <c r="E30" s="15">
        <f>+Precios!A28</f>
        <v>46010</v>
      </c>
      <c r="F30" s="12">
        <f>+Precios!B28*Precios!B$3</f>
        <v>0</v>
      </c>
      <c r="G30" s="12">
        <f>+Precios!C28*Precios!C$3</f>
        <v>0</v>
      </c>
      <c r="H30" s="12">
        <f>+Precios!D28*Precios!D$3</f>
        <v>0</v>
      </c>
      <c r="I30" s="12">
        <f>+Precios!E28*Precios!E$3</f>
        <v>0</v>
      </c>
      <c r="J30" s="12">
        <f>+Precios!F28*Precios!F$3</f>
        <v>0</v>
      </c>
      <c r="K30" s="12">
        <f>+Precios!G28*Precios!G$3</f>
        <v>0</v>
      </c>
      <c r="L30" s="12">
        <f>+Precios!H28*Precios!H$3</f>
        <v>0</v>
      </c>
      <c r="M30" s="12">
        <f>+Precios!I28*Precios!I$3</f>
        <v>0</v>
      </c>
      <c r="N30" s="12">
        <f>+Precios!J28*Precios!J$3</f>
        <v>0</v>
      </c>
      <c r="O30" s="12">
        <f>+Precios!K28*Precios!K$3</f>
        <v>0</v>
      </c>
      <c r="P30" s="12">
        <f>+Precios!L28*Precios!L$3</f>
        <v>0</v>
      </c>
      <c r="Q30" s="12">
        <f>+Precios!M28*Precios!M$3</f>
        <v>0</v>
      </c>
      <c r="R30" s="12">
        <f>+Precios!N28*Precios!N$3</f>
        <v>0</v>
      </c>
      <c r="S30" s="12">
        <f>+Precios!O28*Precios!O$3</f>
        <v>0</v>
      </c>
      <c r="T30" s="12">
        <f>+Precios!P28*Precios!P$3</f>
        <v>0</v>
      </c>
      <c r="U30" s="12">
        <f>+Precios!Q28*Precios!Q$3</f>
        <v>0</v>
      </c>
      <c r="V30" s="12">
        <f>+Precios!R28*Precios!R$3</f>
        <v>0</v>
      </c>
      <c r="W30" s="12">
        <f>+Precios!S28*Precios!S$3</f>
        <v>0</v>
      </c>
      <c r="X30" s="12">
        <f>+Precios!T28*Precios!T$3</f>
        <v>0</v>
      </c>
      <c r="Y30" s="12">
        <f>+Precios!U28*Precios!U$3</f>
        <v>0</v>
      </c>
      <c r="Z30" s="12">
        <f>+Precios!V28*Precios!V$3</f>
        <v>0</v>
      </c>
      <c r="AA30" s="12">
        <f>+Precios!W28*Precios!W$3</f>
        <v>0</v>
      </c>
      <c r="AB30" s="12">
        <f>+Precios!X28*Precios!X$3</f>
        <v>0</v>
      </c>
      <c r="AC30" s="12">
        <f>+Precios!Y28*Precios!Y$3</f>
        <v>0</v>
      </c>
      <c r="AD30" s="12">
        <f>+Precios!Z28*Precios!Z$3</f>
        <v>0</v>
      </c>
      <c r="AE30" s="12">
        <f>+Precios!AA28*Precios!AA$3</f>
        <v>0</v>
      </c>
      <c r="AF30" s="12">
        <f>+Precios!AB28*Precios!AB$3</f>
        <v>0</v>
      </c>
      <c r="AG30" s="12">
        <f>+Precios!AC28*Precios!AC$3</f>
        <v>0</v>
      </c>
      <c r="AH30" s="12">
        <f>+Precios!AD28*Precios!AD$3</f>
        <v>0</v>
      </c>
      <c r="AI30" s="12">
        <f>+Precios!AE28*Precios!AE$3</f>
        <v>0</v>
      </c>
      <c r="AJ30" s="12">
        <f>+Precios!AF28*Precios!AF$3</f>
        <v>0</v>
      </c>
      <c r="AK30" s="12">
        <f>+Precios!AG28*Precios!AG$3</f>
        <v>0</v>
      </c>
      <c r="AL30" s="12">
        <f>+Precios!AH28*Precios!AH$3</f>
        <v>0</v>
      </c>
      <c r="AM30" s="12">
        <f>+Precios!AI28*Precios!AI$3</f>
        <v>0</v>
      </c>
      <c r="AN30" s="12">
        <f>+Precios!AJ28*Precios!AJ$3</f>
        <v>0</v>
      </c>
      <c r="AO30" s="12">
        <f>+Precios!AK28*Precios!AK$3</f>
        <v>0</v>
      </c>
      <c r="AP30" s="12">
        <f>+Precios!AL28*Precios!AL$3</f>
        <v>0</v>
      </c>
      <c r="AQ30" s="12">
        <f>+Precios!AM28*Precios!AM$3</f>
        <v>0</v>
      </c>
      <c r="AR30" s="12">
        <f>+Precios!AN28*Precios!AN$3</f>
        <v>0</v>
      </c>
      <c r="AS30" s="12">
        <f>+Precios!AO28*Precios!AO$3</f>
        <v>0</v>
      </c>
      <c r="AT30" s="12">
        <f>+Precios!AP28*Precios!AP$3</f>
        <v>0</v>
      </c>
      <c r="AU30" s="12">
        <f>+Precios!AQ28*Precios!AQ$3</f>
        <v>0</v>
      </c>
      <c r="AV30" s="12">
        <f>+Precios!AR28*Precios!AR$3</f>
        <v>0</v>
      </c>
      <c r="AW30" s="12">
        <f>+Precios!AS28*Precios!AS$3</f>
        <v>0</v>
      </c>
      <c r="AX30" s="12">
        <f>+Precios!AT28*Precios!AT$3</f>
        <v>0</v>
      </c>
      <c r="AY30" s="12">
        <f>+Precios!AU28*$AY$3</f>
        <v>0</v>
      </c>
      <c r="AZ30" s="12">
        <f>+Precios!AV28*Precios!AV$3</f>
        <v>0</v>
      </c>
      <c r="BA30" s="12">
        <f>+Precios!AW28*Precios!AW$3</f>
        <v>0</v>
      </c>
      <c r="BB30" s="12">
        <f>+Precios!AX28*Precios!AX$3</f>
        <v>0</v>
      </c>
      <c r="BC30" s="12">
        <f>+Precios!AY28*Precios!AY$3</f>
        <v>0</v>
      </c>
      <c r="BD30" s="12">
        <f>+Precios!AZ28*Precios!AZ$3</f>
        <v>0</v>
      </c>
      <c r="BE30" s="12">
        <f>+Precios!BA28*Precios!BA$3</f>
        <v>0</v>
      </c>
      <c r="BF30" s="12">
        <f>+Precios!BB28*Precios!BB$3</f>
        <v>0</v>
      </c>
      <c r="BG30" s="12">
        <f>+Precios!BC28*Precios!BC$3</f>
        <v>0</v>
      </c>
      <c r="BH30" s="12">
        <f>+Precios!BD28*$BH$3</f>
        <v>0</v>
      </c>
      <c r="BI30" s="12">
        <f>+Precios!BE28*Precios!BE$3</f>
        <v>0</v>
      </c>
      <c r="BJ30" s="12">
        <f>+Precios!BF28*Precios!BF$3</f>
        <v>0</v>
      </c>
      <c r="BK30" s="12">
        <f>+Precios!BG28*Precios!BG$3</f>
        <v>0</v>
      </c>
      <c r="BL30" s="12">
        <f>+Precios!BH28*Precios!BH$3</f>
        <v>0</v>
      </c>
      <c r="BM30" s="12">
        <f>+Precios!BI28*Precios!BI$3</f>
        <v>0</v>
      </c>
      <c r="BN30" s="12">
        <f>+Precios!BJ28*$BN$3</f>
        <v>0</v>
      </c>
      <c r="BO30" s="12">
        <f>+Precios!BK28*$BO$3</f>
        <v>0</v>
      </c>
      <c r="BP30" s="12">
        <f>+Precios!BL28*Precios!BL$3</f>
        <v>0</v>
      </c>
    </row>
    <row r="31" spans="1:68" ht="15" thickBot="1">
      <c r="A31" s="5">
        <f>+SUM(F31:XFD31)</f>
        <v>0</v>
      </c>
      <c r="B31" s="26"/>
      <c r="C31" s="5">
        <f t="shared" si="0"/>
        <v>5582.1900000000014</v>
      </c>
      <c r="D31" s="5">
        <f>1000000+C31-Cost!A31</f>
        <v>1005582.19</v>
      </c>
      <c r="E31" s="15">
        <f>+Precios!A29</f>
        <v>46013</v>
      </c>
      <c r="F31" s="12">
        <f>+Precios!B29*Precios!B$3</f>
        <v>0</v>
      </c>
      <c r="G31" s="12">
        <f>+Precios!C29*Precios!C$3</f>
        <v>0</v>
      </c>
      <c r="H31" s="12">
        <f>+Precios!D29*Precios!D$3</f>
        <v>0</v>
      </c>
      <c r="I31" s="12">
        <f>+Precios!E29*Precios!E$3</f>
        <v>0</v>
      </c>
      <c r="J31" s="12">
        <f>+Precios!F29*Precios!F$3</f>
        <v>0</v>
      </c>
      <c r="K31" s="12">
        <f>+Precios!G29*Precios!G$3</f>
        <v>0</v>
      </c>
      <c r="L31" s="12">
        <f>+Precios!H29*Precios!H$3</f>
        <v>0</v>
      </c>
      <c r="M31" s="12">
        <f>+Precios!I29*Precios!I$3</f>
        <v>0</v>
      </c>
      <c r="N31" s="12">
        <f>+Precios!J29*Precios!J$3</f>
        <v>0</v>
      </c>
      <c r="O31" s="12">
        <f>+Precios!K29*Precios!K$3</f>
        <v>0</v>
      </c>
      <c r="P31" s="12">
        <f>+Precios!L29*Precios!L$3</f>
        <v>0</v>
      </c>
      <c r="Q31" s="12">
        <f>+Precios!M29*Precios!M$3</f>
        <v>0</v>
      </c>
      <c r="R31" s="12">
        <f>+Precios!N29*Precios!N$3</f>
        <v>0</v>
      </c>
      <c r="S31" s="12">
        <f>+Precios!O29*Precios!O$3</f>
        <v>0</v>
      </c>
      <c r="T31" s="12">
        <f>+Precios!P29*Precios!P$3</f>
        <v>0</v>
      </c>
      <c r="U31" s="12">
        <f>+Precios!Q29*Precios!Q$3</f>
        <v>0</v>
      </c>
      <c r="V31" s="12">
        <f>+Precios!R29*Precios!R$3</f>
        <v>0</v>
      </c>
      <c r="W31" s="12">
        <f>+Precios!S29*Precios!S$3</f>
        <v>0</v>
      </c>
      <c r="X31" s="12">
        <f>+Precios!T29*Precios!T$3</f>
        <v>0</v>
      </c>
      <c r="Y31" s="12">
        <f>+Precios!U29*Precios!U$3</f>
        <v>0</v>
      </c>
      <c r="Z31" s="12">
        <f>+Precios!V29*Precios!V$3</f>
        <v>0</v>
      </c>
      <c r="AA31" s="12">
        <f>+Precios!W29*Precios!W$3</f>
        <v>0</v>
      </c>
      <c r="AB31" s="12">
        <f>+Precios!X29*Precios!X$3</f>
        <v>0</v>
      </c>
      <c r="AC31" s="12">
        <f>+Precios!Y29*Precios!Y$3</f>
        <v>0</v>
      </c>
      <c r="AD31" s="12">
        <f>+Precios!Z29*Precios!Z$3</f>
        <v>0</v>
      </c>
      <c r="AE31" s="12">
        <f>+Precios!AA29*Precios!AA$3</f>
        <v>0</v>
      </c>
      <c r="AF31" s="12">
        <f>+Precios!AB29*Precios!AB$3</f>
        <v>0</v>
      </c>
      <c r="AG31" s="12">
        <f>+Precios!AC29*Precios!AC$3</f>
        <v>0</v>
      </c>
      <c r="AH31" s="12">
        <f>+Precios!AD29*Precios!AD$3</f>
        <v>0</v>
      </c>
      <c r="AI31" s="12">
        <f>+Precios!AE29*Precios!AE$3</f>
        <v>0</v>
      </c>
      <c r="AJ31" s="12">
        <f>+Precios!AF29*Precios!AF$3</f>
        <v>0</v>
      </c>
      <c r="AK31" s="12">
        <f>+Precios!AG29*Precios!AG$3</f>
        <v>0</v>
      </c>
      <c r="AL31" s="12">
        <f>+Precios!AH29*Precios!AH$3</f>
        <v>0</v>
      </c>
      <c r="AM31" s="12">
        <f>+Precios!AI29*Precios!AI$3</f>
        <v>0</v>
      </c>
      <c r="AN31" s="12">
        <f>+Precios!AJ29*Precios!AJ$3</f>
        <v>0</v>
      </c>
      <c r="AO31" s="12">
        <f>+Precios!AK29*Precios!AK$3</f>
        <v>0</v>
      </c>
      <c r="AP31" s="12">
        <f>+Precios!AL29*Precios!AL$3</f>
        <v>0</v>
      </c>
      <c r="AQ31" s="12">
        <f>+Precios!AM29*Precios!AM$3</f>
        <v>0</v>
      </c>
      <c r="AR31" s="12">
        <f>+Precios!AN29*Precios!AN$3</f>
        <v>0</v>
      </c>
      <c r="AS31" s="12">
        <f>+Precios!AO29*Precios!AO$3</f>
        <v>0</v>
      </c>
      <c r="AT31" s="12">
        <f>+Precios!AP29*Precios!AP$3</f>
        <v>0</v>
      </c>
      <c r="AU31" s="12">
        <f>+Precios!AQ29*Precios!AQ$3</f>
        <v>0</v>
      </c>
      <c r="AV31" s="12">
        <f>+Precios!AR29*Precios!AR$3</f>
        <v>0</v>
      </c>
      <c r="AW31" s="12">
        <f>+Precios!AS29*Precios!AS$3</f>
        <v>0</v>
      </c>
      <c r="AX31" s="12">
        <f>+Precios!AT29*Precios!AT$3</f>
        <v>0</v>
      </c>
      <c r="AY31" s="12">
        <f>+Precios!AU29*$AY$3</f>
        <v>0</v>
      </c>
      <c r="AZ31" s="12">
        <f>+Precios!AV29*Precios!AV$3</f>
        <v>0</v>
      </c>
      <c r="BA31" s="12">
        <f>+Precios!AW29*Precios!AW$3</f>
        <v>0</v>
      </c>
      <c r="BB31" s="12">
        <f>+Precios!AX29*Precios!AX$3</f>
        <v>0</v>
      </c>
      <c r="BC31" s="12">
        <f>+Precios!AY29*Precios!AY$3</f>
        <v>0</v>
      </c>
      <c r="BD31" s="12">
        <f>+Precios!AZ29*Precios!AZ$3</f>
        <v>0</v>
      </c>
      <c r="BE31" s="12">
        <f>+Precios!BA29*Precios!BA$3</f>
        <v>0</v>
      </c>
      <c r="BF31" s="12">
        <f>+Precios!BB29*Precios!BB$3</f>
        <v>0</v>
      </c>
      <c r="BG31" s="12">
        <f>+Precios!BC29*Precios!BC$3</f>
        <v>0</v>
      </c>
      <c r="BH31" s="12">
        <f>+Precios!BD29*$BH$3</f>
        <v>0</v>
      </c>
      <c r="BI31" s="12">
        <f>+Precios!BE29*Precios!BE$3</f>
        <v>0</v>
      </c>
      <c r="BJ31" s="12">
        <f>+Precios!BF29*Precios!BF$3</f>
        <v>0</v>
      </c>
      <c r="BK31" s="12">
        <f>+Precios!BG29*Precios!BG$3</f>
        <v>0</v>
      </c>
      <c r="BL31" s="12">
        <f>+Precios!BH29*Precios!BH$3</f>
        <v>0</v>
      </c>
      <c r="BM31" s="12">
        <f>+Precios!BI29*Precios!BI$3</f>
        <v>0</v>
      </c>
      <c r="BN31" s="12">
        <f>+Precios!BJ29*$BN$3</f>
        <v>0</v>
      </c>
      <c r="BO31" s="12">
        <f>+Precios!BK29*$BO$3</f>
        <v>0</v>
      </c>
      <c r="BP31" s="12">
        <f>+Precios!BL29*Precios!BL$3</f>
        <v>0</v>
      </c>
    </row>
    <row r="32" spans="1:68" ht="15" thickBot="1">
      <c r="A32" s="5">
        <f>+SUM(F32:XFD32)</f>
        <v>0</v>
      </c>
      <c r="B32" s="26"/>
      <c r="C32" s="5">
        <f t="shared" si="0"/>
        <v>5582.1900000000014</v>
      </c>
      <c r="D32" s="5">
        <f>1000000+C32-Cost!A32</f>
        <v>1005582.19</v>
      </c>
      <c r="E32" s="15">
        <f>+Precios!A30</f>
        <v>46014</v>
      </c>
      <c r="F32" s="12">
        <f>+Precios!B30*Precios!B$3</f>
        <v>0</v>
      </c>
      <c r="G32" s="12">
        <f>+Precios!C30*Precios!C$3</f>
        <v>0</v>
      </c>
      <c r="H32" s="12">
        <f>+Precios!D30*Precios!D$3</f>
        <v>0</v>
      </c>
      <c r="I32" s="12">
        <f>+Precios!E30*Precios!E$3</f>
        <v>0</v>
      </c>
      <c r="J32" s="12">
        <f>+Precios!F30*Precios!F$3</f>
        <v>0</v>
      </c>
      <c r="K32" s="12">
        <f>+Precios!G30*Precios!G$3</f>
        <v>0</v>
      </c>
      <c r="L32" s="12">
        <f>+Precios!H30*Precios!H$3</f>
        <v>0</v>
      </c>
      <c r="M32" s="12">
        <f>+Precios!I30*Precios!I$3</f>
        <v>0</v>
      </c>
      <c r="N32" s="12">
        <f>+Precios!J30*Precios!J$3</f>
        <v>0</v>
      </c>
      <c r="O32" s="12">
        <f>+Precios!K30*Precios!K$3</f>
        <v>0</v>
      </c>
      <c r="P32" s="12">
        <f>+Precios!L30*Precios!L$3</f>
        <v>0</v>
      </c>
      <c r="Q32" s="12">
        <f>+Precios!M30*Precios!M$3</f>
        <v>0</v>
      </c>
      <c r="R32" s="12">
        <f>+Precios!N30*Precios!N$3</f>
        <v>0</v>
      </c>
      <c r="S32" s="12">
        <f>+Precios!O30*Precios!O$3</f>
        <v>0</v>
      </c>
      <c r="T32" s="12">
        <f>+Precios!P30*Precios!P$3</f>
        <v>0</v>
      </c>
      <c r="U32" s="12">
        <f>+Precios!Q30*Precios!Q$3</f>
        <v>0</v>
      </c>
      <c r="V32" s="12">
        <f>+Precios!R30*Precios!R$3</f>
        <v>0</v>
      </c>
      <c r="W32" s="12">
        <f>+Precios!S30*Precios!S$3</f>
        <v>0</v>
      </c>
      <c r="X32" s="12">
        <f>+Precios!T30*Precios!T$3</f>
        <v>0</v>
      </c>
      <c r="Y32" s="12">
        <f>+Precios!U30*Precios!U$3</f>
        <v>0</v>
      </c>
      <c r="Z32" s="12">
        <f>+Precios!V30*Precios!V$3</f>
        <v>0</v>
      </c>
      <c r="AA32" s="12">
        <f>+Precios!W30*Precios!W$3</f>
        <v>0</v>
      </c>
      <c r="AB32" s="12">
        <f>+Precios!X30*Precios!X$3</f>
        <v>0</v>
      </c>
      <c r="AC32" s="12">
        <f>+Precios!Y30*Precios!Y$3</f>
        <v>0</v>
      </c>
      <c r="AD32" s="12">
        <f>+Precios!Z30*Precios!Z$3</f>
        <v>0</v>
      </c>
      <c r="AE32" s="12">
        <f>+Precios!AA30*Precios!AA$3</f>
        <v>0</v>
      </c>
      <c r="AF32" s="12">
        <f>+Precios!AB30*Precios!AB$3</f>
        <v>0</v>
      </c>
      <c r="AG32" s="12">
        <f>+Precios!AC30*Precios!AC$3</f>
        <v>0</v>
      </c>
      <c r="AH32" s="12">
        <f>+Precios!AD30*Precios!AD$3</f>
        <v>0</v>
      </c>
      <c r="AI32" s="12">
        <f>+Precios!AE30*Precios!AE$3</f>
        <v>0</v>
      </c>
      <c r="AJ32" s="12">
        <f>+Precios!AF30*Precios!AF$3</f>
        <v>0</v>
      </c>
      <c r="AK32" s="12">
        <f>+Precios!AG30*Precios!AG$3</f>
        <v>0</v>
      </c>
      <c r="AL32" s="12">
        <f>+Precios!AH30*Precios!AH$3</f>
        <v>0</v>
      </c>
      <c r="AM32" s="12">
        <f>+Precios!AI30*Precios!AI$3</f>
        <v>0</v>
      </c>
      <c r="AN32" s="12">
        <f>+Precios!AJ30*Precios!AJ$3</f>
        <v>0</v>
      </c>
      <c r="AO32" s="12">
        <f>+Precios!AK30*Precios!AK$3</f>
        <v>0</v>
      </c>
      <c r="AP32" s="12">
        <f>+Precios!AL30*Precios!AL$3</f>
        <v>0</v>
      </c>
      <c r="AQ32" s="12">
        <f>+Precios!AM30*Precios!AM$3</f>
        <v>0</v>
      </c>
      <c r="AR32" s="12">
        <f>+Precios!AN30*Precios!AN$3</f>
        <v>0</v>
      </c>
      <c r="AS32" s="12">
        <f>+Precios!AO30*Precios!AO$3</f>
        <v>0</v>
      </c>
      <c r="AT32" s="12">
        <f>+Precios!AP30*Precios!AP$3</f>
        <v>0</v>
      </c>
      <c r="AU32" s="12">
        <f>+Precios!AQ30*Precios!AQ$3</f>
        <v>0</v>
      </c>
      <c r="AV32" s="12">
        <f>+Precios!AR30*Precios!AR$3</f>
        <v>0</v>
      </c>
      <c r="AW32" s="12">
        <f>+Precios!AS30*Precios!AS$3</f>
        <v>0</v>
      </c>
      <c r="AX32" s="12">
        <f>+Precios!AT30*Precios!AT$3</f>
        <v>0</v>
      </c>
      <c r="AY32" s="12">
        <f>+Precios!AU30*$AY$3</f>
        <v>0</v>
      </c>
      <c r="AZ32" s="12">
        <f>+Precios!AV30*Precios!AV$3</f>
        <v>0</v>
      </c>
      <c r="BA32" s="12">
        <f>+Precios!AW30*Precios!AW$3</f>
        <v>0</v>
      </c>
      <c r="BB32" s="12">
        <f>+Precios!AX30*Precios!AX$3</f>
        <v>0</v>
      </c>
      <c r="BC32" s="12">
        <f>+Precios!AY30*Precios!AY$3</f>
        <v>0</v>
      </c>
      <c r="BD32" s="12">
        <f>+Precios!AZ30*Precios!AZ$3</f>
        <v>0</v>
      </c>
      <c r="BE32" s="12">
        <f>+Precios!BA30*Precios!BA$3</f>
        <v>0</v>
      </c>
      <c r="BF32" s="12">
        <f>+Precios!BB30*Precios!BB$3</f>
        <v>0</v>
      </c>
      <c r="BG32" s="12">
        <f>+Precios!BC30*Precios!BC$3</f>
        <v>0</v>
      </c>
      <c r="BH32" s="12">
        <f>+Precios!BD30*$BH$3</f>
        <v>0</v>
      </c>
      <c r="BI32" s="12">
        <f>+Precios!BE30*Precios!BE$3</f>
        <v>0</v>
      </c>
      <c r="BJ32" s="12">
        <f>+Precios!BF30*Precios!BF$3</f>
        <v>0</v>
      </c>
      <c r="BK32" s="12">
        <f>+Precios!BG30*Precios!BG$3</f>
        <v>0</v>
      </c>
      <c r="BL32" s="12">
        <f>+Precios!BH30*Precios!BH$3</f>
        <v>0</v>
      </c>
      <c r="BM32" s="12">
        <f>+Precios!BI30*Precios!BI$3</f>
        <v>0</v>
      </c>
      <c r="BN32" s="12">
        <f>+Precios!BJ30*$BN$3</f>
        <v>0</v>
      </c>
      <c r="BO32" s="12">
        <f>+Precios!BK30*$BO$3</f>
        <v>0</v>
      </c>
      <c r="BP32" s="12">
        <f>+Precios!BL30*Precios!BL$3</f>
        <v>0</v>
      </c>
    </row>
    <row r="33" spans="1:68" ht="15" thickBot="1">
      <c r="A33" s="5">
        <f>+SUM(F33:XFD33)</f>
        <v>0</v>
      </c>
      <c r="B33" s="26"/>
      <c r="C33" s="5">
        <f t="shared" si="0"/>
        <v>5582.1900000000014</v>
      </c>
      <c r="D33" s="5">
        <f>1000000+C33-Cost!A33</f>
        <v>1005582.19</v>
      </c>
      <c r="E33" s="15">
        <f>+Precios!A31</f>
        <v>46015</v>
      </c>
      <c r="F33" s="12">
        <f>+Precios!B31*Precios!B$3</f>
        <v>0</v>
      </c>
      <c r="G33" s="12">
        <f>+Precios!C31*Precios!C$3</f>
        <v>0</v>
      </c>
      <c r="H33" s="12">
        <f>+Precios!D31*Precios!D$3</f>
        <v>0</v>
      </c>
      <c r="I33" s="12">
        <f>+Precios!E31*Precios!E$3</f>
        <v>0</v>
      </c>
      <c r="J33" s="12">
        <f>+Precios!F31*Precios!F$3</f>
        <v>0</v>
      </c>
      <c r="K33" s="12">
        <f>+Precios!G31*Precios!G$3</f>
        <v>0</v>
      </c>
      <c r="L33" s="12">
        <f>+Precios!H31*Precios!H$3</f>
        <v>0</v>
      </c>
      <c r="M33" s="12">
        <f>+Precios!I31*Precios!I$3</f>
        <v>0</v>
      </c>
      <c r="N33" s="12">
        <f>+Precios!J31*Precios!J$3</f>
        <v>0</v>
      </c>
      <c r="O33" s="12">
        <f>+Precios!K31*Precios!K$3</f>
        <v>0</v>
      </c>
      <c r="P33" s="12">
        <f>+Precios!L31*Precios!L$3</f>
        <v>0</v>
      </c>
      <c r="Q33" s="12">
        <f>+Precios!M31*Precios!M$3</f>
        <v>0</v>
      </c>
      <c r="R33" s="12">
        <f>+Precios!N31*Precios!N$3</f>
        <v>0</v>
      </c>
      <c r="S33" s="12">
        <f>+Precios!O31*Precios!O$3</f>
        <v>0</v>
      </c>
      <c r="T33" s="12">
        <f>+Precios!P31*Precios!P$3</f>
        <v>0</v>
      </c>
      <c r="U33" s="12">
        <f>+Precios!Q31*Precios!Q$3</f>
        <v>0</v>
      </c>
      <c r="V33" s="12">
        <f>+Precios!R31*Precios!R$3</f>
        <v>0</v>
      </c>
      <c r="W33" s="12">
        <f>+Precios!S31*Precios!S$3</f>
        <v>0</v>
      </c>
      <c r="X33" s="12">
        <f>+Precios!T31*Precios!T$3</f>
        <v>0</v>
      </c>
      <c r="Y33" s="12">
        <f>+Precios!U31*Precios!U$3</f>
        <v>0</v>
      </c>
      <c r="Z33" s="12">
        <f>+Precios!V31*Precios!V$3</f>
        <v>0</v>
      </c>
      <c r="AA33" s="12">
        <f>+Precios!W31*Precios!W$3</f>
        <v>0</v>
      </c>
      <c r="AB33" s="12">
        <f>+Precios!X31*Precios!X$3</f>
        <v>0</v>
      </c>
      <c r="AC33" s="12">
        <f>+Precios!Y31*Precios!Y$3</f>
        <v>0</v>
      </c>
      <c r="AD33" s="12">
        <f>+Precios!Z31*Precios!Z$3</f>
        <v>0</v>
      </c>
      <c r="AE33" s="12">
        <f>+Precios!AA31*Precios!AA$3</f>
        <v>0</v>
      </c>
      <c r="AF33" s="12">
        <f>+Precios!AB31*Precios!AB$3</f>
        <v>0</v>
      </c>
      <c r="AG33" s="12">
        <f>+Precios!AC31*Precios!AC$3</f>
        <v>0</v>
      </c>
      <c r="AH33" s="12">
        <f>+Precios!AD31*Precios!AD$3</f>
        <v>0</v>
      </c>
      <c r="AI33" s="12">
        <f>+Precios!AE31*Precios!AE$3</f>
        <v>0</v>
      </c>
      <c r="AJ33" s="12">
        <f>+Precios!AF31*Precios!AF$3</f>
        <v>0</v>
      </c>
      <c r="AK33" s="12">
        <f>+Precios!AG31*Precios!AG$3</f>
        <v>0</v>
      </c>
      <c r="AL33" s="12">
        <f>+Precios!AH31*Precios!AH$3</f>
        <v>0</v>
      </c>
      <c r="AM33" s="12">
        <f>+Precios!AI31*Precios!AI$3</f>
        <v>0</v>
      </c>
      <c r="AN33" s="12">
        <f>+Precios!AJ31*Precios!AJ$3</f>
        <v>0</v>
      </c>
      <c r="AO33" s="12">
        <f>+Precios!AK31*Precios!AK$3</f>
        <v>0</v>
      </c>
      <c r="AP33" s="12">
        <f>+Precios!AL31*Precios!AL$3</f>
        <v>0</v>
      </c>
      <c r="AQ33" s="12">
        <f>+Precios!AM31*Precios!AM$3</f>
        <v>0</v>
      </c>
      <c r="AR33" s="12">
        <f>+Precios!AN31*Precios!AN$3</f>
        <v>0</v>
      </c>
      <c r="AS33" s="12">
        <f>+Precios!AO31*Precios!AO$3</f>
        <v>0</v>
      </c>
      <c r="AT33" s="12">
        <f>+Precios!AP31*Precios!AP$3</f>
        <v>0</v>
      </c>
      <c r="AU33" s="12">
        <f>+Precios!AQ31*Precios!AQ$3</f>
        <v>0</v>
      </c>
      <c r="AV33" s="12">
        <f>+Precios!AR31*Precios!AR$3</f>
        <v>0</v>
      </c>
      <c r="AW33" s="12">
        <f>+Precios!AS31*Precios!AS$3</f>
        <v>0</v>
      </c>
      <c r="AX33" s="12">
        <f>+Precios!AT31*Precios!AT$3</f>
        <v>0</v>
      </c>
      <c r="AY33" s="12">
        <f>+Precios!AU31*$AY$3</f>
        <v>0</v>
      </c>
      <c r="AZ33" s="12">
        <f>+Precios!AV31*Precios!AV$3</f>
        <v>0</v>
      </c>
      <c r="BA33" s="12">
        <f>+Precios!AW31*Precios!AW$3</f>
        <v>0</v>
      </c>
      <c r="BB33" s="12">
        <f>+Precios!AX31*Precios!AX$3</f>
        <v>0</v>
      </c>
      <c r="BC33" s="12">
        <f>+Precios!AY31*Precios!AY$3</f>
        <v>0</v>
      </c>
      <c r="BD33" s="12">
        <f>+Precios!AZ31*Precios!AZ$3</f>
        <v>0</v>
      </c>
      <c r="BE33" s="12">
        <f>+Precios!BA31*Precios!BA$3</f>
        <v>0</v>
      </c>
      <c r="BF33" s="12">
        <f>+Precios!BB31*Precios!BB$3</f>
        <v>0</v>
      </c>
      <c r="BG33" s="12">
        <f>+Precios!BC31*Precios!BC$3</f>
        <v>0</v>
      </c>
      <c r="BH33" s="12">
        <f>+Precios!BD31*$BH$3</f>
        <v>0</v>
      </c>
      <c r="BI33" s="12">
        <f>+Precios!BE31*Precios!BE$3</f>
        <v>0</v>
      </c>
      <c r="BJ33" s="12">
        <f>+Precios!BF31*Precios!BF$3</f>
        <v>0</v>
      </c>
      <c r="BK33" s="12">
        <f>+Precios!BG31*Precios!BG$3</f>
        <v>0</v>
      </c>
      <c r="BL33" s="12">
        <f>+Precios!BH31*Precios!BH$3</f>
        <v>0</v>
      </c>
      <c r="BM33" s="12">
        <f>+Precios!BI31*Precios!BI$3</f>
        <v>0</v>
      </c>
      <c r="BN33" s="12">
        <f>+Precios!BJ31*$BN$3</f>
        <v>0</v>
      </c>
      <c r="BO33" s="12">
        <f>+Precios!BK31*$BO$3</f>
        <v>0</v>
      </c>
      <c r="BP33" s="12">
        <f>+Precios!BL31*Precios!BL$3</f>
        <v>0</v>
      </c>
    </row>
    <row r="34" spans="1:68" ht="15" thickBot="1">
      <c r="A34" s="5">
        <f>+SUM(F34:XFD34)</f>
        <v>0</v>
      </c>
      <c r="B34" s="26"/>
      <c r="C34" s="5">
        <f t="shared" si="0"/>
        <v>5582.1900000000014</v>
      </c>
      <c r="D34" s="5">
        <f>1000000+C34-Cost!A34</f>
        <v>1005582.19</v>
      </c>
      <c r="E34" s="15">
        <f>+Precios!A32</f>
        <v>46016</v>
      </c>
      <c r="F34" s="12">
        <f>+Precios!B32*Precios!B$3</f>
        <v>0</v>
      </c>
      <c r="G34" s="12">
        <f>+Precios!C32*Precios!C$3</f>
        <v>0</v>
      </c>
      <c r="H34" s="12">
        <f>+Precios!D32*Precios!D$3</f>
        <v>0</v>
      </c>
      <c r="I34" s="12">
        <f>+Precios!E32*Precios!E$3</f>
        <v>0</v>
      </c>
      <c r="J34" s="12">
        <f>+Precios!F32*Precios!F$3</f>
        <v>0</v>
      </c>
      <c r="K34" s="12">
        <f>+Precios!G32*Precios!G$3</f>
        <v>0</v>
      </c>
      <c r="L34" s="12">
        <f>+Precios!H32*Precios!H$3</f>
        <v>0</v>
      </c>
      <c r="M34" s="12">
        <f>+Precios!I32*Precios!I$3</f>
        <v>0</v>
      </c>
      <c r="N34" s="12">
        <f>+Precios!J32*Precios!J$3</f>
        <v>0</v>
      </c>
      <c r="O34" s="12">
        <f>+Precios!K32*Precios!K$3</f>
        <v>0</v>
      </c>
      <c r="P34" s="12">
        <f>+Precios!L32*Precios!L$3</f>
        <v>0</v>
      </c>
      <c r="Q34" s="12">
        <f>+Precios!M32*Precios!M$3</f>
        <v>0</v>
      </c>
      <c r="R34" s="12">
        <f>+Precios!N32*Precios!N$3</f>
        <v>0</v>
      </c>
      <c r="S34" s="12">
        <f>+Precios!O32*Precios!O$3</f>
        <v>0</v>
      </c>
      <c r="T34" s="12">
        <f>+Precios!P32*Precios!P$3</f>
        <v>0</v>
      </c>
      <c r="U34" s="12">
        <f>+Precios!Q32*Precios!Q$3</f>
        <v>0</v>
      </c>
      <c r="V34" s="12">
        <f>+Precios!R32*Precios!R$3</f>
        <v>0</v>
      </c>
      <c r="W34" s="12">
        <f>+Precios!S32*Precios!S$3</f>
        <v>0</v>
      </c>
      <c r="X34" s="12">
        <f>+Precios!T32*Precios!T$3</f>
        <v>0</v>
      </c>
      <c r="Y34" s="12">
        <f>+Precios!U32*Precios!U$3</f>
        <v>0</v>
      </c>
      <c r="Z34" s="12">
        <f>+Precios!V32*Precios!V$3</f>
        <v>0</v>
      </c>
      <c r="AA34" s="12">
        <f>+Precios!W32*Precios!W$3</f>
        <v>0</v>
      </c>
      <c r="AB34" s="12">
        <f>+Precios!X32*Precios!X$3</f>
        <v>0</v>
      </c>
      <c r="AC34" s="12">
        <f>+Precios!Y32*Precios!Y$3</f>
        <v>0</v>
      </c>
      <c r="AD34" s="12">
        <f>+Precios!Z32*Precios!Z$3</f>
        <v>0</v>
      </c>
      <c r="AE34" s="12">
        <f>+Precios!AA32*Precios!AA$3</f>
        <v>0</v>
      </c>
      <c r="AF34" s="12">
        <f>+Precios!AB32*Precios!AB$3</f>
        <v>0</v>
      </c>
      <c r="AG34" s="12">
        <f>+Precios!AC32*Precios!AC$3</f>
        <v>0</v>
      </c>
      <c r="AH34" s="12">
        <f>+Precios!AD32*Precios!AD$3</f>
        <v>0</v>
      </c>
      <c r="AI34" s="12">
        <f>+Precios!AE32*Precios!AE$3</f>
        <v>0</v>
      </c>
      <c r="AJ34" s="12">
        <f>+Precios!AF32*Precios!AF$3</f>
        <v>0</v>
      </c>
      <c r="AK34" s="12">
        <f>+Precios!AG32*Precios!AG$3</f>
        <v>0</v>
      </c>
      <c r="AL34" s="12">
        <f>+Precios!AH32*Precios!AH$3</f>
        <v>0</v>
      </c>
      <c r="AM34" s="12">
        <f>+Precios!AI32*Precios!AI$3</f>
        <v>0</v>
      </c>
      <c r="AN34" s="12">
        <f>+Precios!AJ32*Precios!AJ$3</f>
        <v>0</v>
      </c>
      <c r="AO34" s="12">
        <f>+Precios!AK32*Precios!AK$3</f>
        <v>0</v>
      </c>
      <c r="AP34" s="12">
        <f>+Precios!AL32*Precios!AL$3</f>
        <v>0</v>
      </c>
      <c r="AQ34" s="12">
        <f>+Precios!AM32*Precios!AM$3</f>
        <v>0</v>
      </c>
      <c r="AR34" s="12">
        <f>+Precios!AN32*Precios!AN$3</f>
        <v>0</v>
      </c>
      <c r="AS34" s="12">
        <f>+Precios!AO32*Precios!AO$3</f>
        <v>0</v>
      </c>
      <c r="AT34" s="12">
        <f>+Precios!AP32*Precios!AP$3</f>
        <v>0</v>
      </c>
      <c r="AU34" s="12">
        <f>+Precios!AQ32*Precios!AQ$3</f>
        <v>0</v>
      </c>
      <c r="AV34" s="12">
        <f>+Precios!AR32*Precios!AR$3</f>
        <v>0</v>
      </c>
      <c r="AW34" s="12">
        <f>+Precios!AS32*Precios!AS$3</f>
        <v>0</v>
      </c>
      <c r="AX34" s="12">
        <f>+Precios!AT32*Precios!AT$3</f>
        <v>0</v>
      </c>
      <c r="AY34" s="12">
        <f>+Precios!AU32*$AY$3</f>
        <v>0</v>
      </c>
      <c r="AZ34" s="12">
        <f>+Precios!AV32*Precios!AV$3</f>
        <v>0</v>
      </c>
      <c r="BA34" s="12">
        <f>+Precios!AW32*Precios!AW$3</f>
        <v>0</v>
      </c>
      <c r="BB34" s="12">
        <f>+Precios!AX32*Precios!AX$3</f>
        <v>0</v>
      </c>
      <c r="BC34" s="12">
        <f>+Precios!AY32*Precios!AY$3</f>
        <v>0</v>
      </c>
      <c r="BD34" s="12">
        <f>+Precios!AZ32*Precios!AZ$3</f>
        <v>0</v>
      </c>
      <c r="BE34" s="12">
        <f>+Precios!BA32*Precios!BA$3</f>
        <v>0</v>
      </c>
      <c r="BF34" s="12">
        <f>+Precios!BB32*Precios!BB$3</f>
        <v>0</v>
      </c>
      <c r="BG34" s="12">
        <f>+Precios!BC32*Precios!BC$3</f>
        <v>0</v>
      </c>
      <c r="BH34" s="12">
        <f>+Precios!BD32*$BH$3</f>
        <v>0</v>
      </c>
      <c r="BI34" s="12">
        <f>+Precios!BE32*Precios!BE$3</f>
        <v>0</v>
      </c>
      <c r="BJ34" s="12">
        <f>+Precios!BF32*Precios!BF$3</f>
        <v>0</v>
      </c>
      <c r="BK34" s="12">
        <f>+Precios!BG32*Precios!BG$3</f>
        <v>0</v>
      </c>
      <c r="BL34" s="12">
        <f>+Precios!BH32*Precios!BH$3</f>
        <v>0</v>
      </c>
      <c r="BM34" s="12">
        <f>+Precios!BI32*Precios!BI$3</f>
        <v>0</v>
      </c>
      <c r="BN34" s="12">
        <f>+Precios!BJ32*$BN$3</f>
        <v>0</v>
      </c>
      <c r="BO34" s="12">
        <f>+Precios!BK32*$BO$3</f>
        <v>0</v>
      </c>
      <c r="BP34" s="12">
        <f>+Precios!BL32*Precios!BL$3</f>
        <v>0</v>
      </c>
    </row>
    <row r="35" spans="1:68" ht="15" thickBot="1">
      <c r="A35" s="5">
        <f>+SUM(F35:XFD35)</f>
        <v>0</v>
      </c>
      <c r="B35" s="26"/>
      <c r="C35" s="5">
        <f t="shared" si="0"/>
        <v>5582.1900000000014</v>
      </c>
      <c r="D35" s="5">
        <f>1000000+C35-Cost!A35</f>
        <v>1005582.19</v>
      </c>
      <c r="E35" s="15">
        <f>+Precios!A33</f>
        <v>46017</v>
      </c>
      <c r="F35" s="12">
        <f>+Precios!B33*Precios!B$3</f>
        <v>0</v>
      </c>
      <c r="G35" s="12">
        <f>+Precios!C33*Precios!C$3</f>
        <v>0</v>
      </c>
      <c r="H35" s="12">
        <f>+Precios!D33*Precios!D$3</f>
        <v>0</v>
      </c>
      <c r="I35" s="12">
        <f>+Precios!E33*Precios!E$3</f>
        <v>0</v>
      </c>
      <c r="J35" s="12">
        <f>+Precios!F33*Precios!F$3</f>
        <v>0</v>
      </c>
      <c r="K35" s="12">
        <f>+Precios!G33*Precios!G$3</f>
        <v>0</v>
      </c>
      <c r="L35" s="12">
        <f>+Precios!H33*Precios!H$3</f>
        <v>0</v>
      </c>
      <c r="M35" s="12">
        <f>+Precios!I33*Precios!I$3</f>
        <v>0</v>
      </c>
      <c r="N35" s="12">
        <f>+Precios!J33*Precios!J$3</f>
        <v>0</v>
      </c>
      <c r="O35" s="12">
        <f>+Precios!K33*Precios!K$3</f>
        <v>0</v>
      </c>
      <c r="P35" s="12">
        <f>+Precios!L33*Precios!L$3</f>
        <v>0</v>
      </c>
      <c r="Q35" s="12">
        <f>+Precios!M33*Precios!M$3</f>
        <v>0</v>
      </c>
      <c r="R35" s="12">
        <f>+Precios!N33*Precios!N$3</f>
        <v>0</v>
      </c>
      <c r="S35" s="12">
        <f>+Precios!O33*Precios!O$3</f>
        <v>0</v>
      </c>
      <c r="T35" s="12">
        <f>+Precios!P33*Precios!P$3</f>
        <v>0</v>
      </c>
      <c r="U35" s="12">
        <f>+Precios!Q33*Precios!Q$3</f>
        <v>0</v>
      </c>
      <c r="V35" s="12">
        <f>+Precios!R33*Precios!R$3</f>
        <v>0</v>
      </c>
      <c r="W35" s="12">
        <f>+Precios!S33*Precios!S$3</f>
        <v>0</v>
      </c>
      <c r="X35" s="12">
        <f>+Precios!T33*Precios!T$3</f>
        <v>0</v>
      </c>
      <c r="Y35" s="12">
        <f>+Precios!U33*Precios!U$3</f>
        <v>0</v>
      </c>
      <c r="Z35" s="12">
        <f>+Precios!V33*Precios!V$3</f>
        <v>0</v>
      </c>
      <c r="AA35" s="12">
        <f>+Precios!W33*Precios!W$3</f>
        <v>0</v>
      </c>
      <c r="AB35" s="12">
        <f>+Precios!X33*Precios!X$3</f>
        <v>0</v>
      </c>
      <c r="AC35" s="12">
        <f>+Precios!Y33*Precios!Y$3</f>
        <v>0</v>
      </c>
      <c r="AD35" s="12">
        <f>+Precios!Z33*Precios!Z$3</f>
        <v>0</v>
      </c>
      <c r="AE35" s="12">
        <f>+Precios!AA33*Precios!AA$3</f>
        <v>0</v>
      </c>
      <c r="AF35" s="12">
        <f>+Precios!AB33*Precios!AB$3</f>
        <v>0</v>
      </c>
      <c r="AG35" s="12">
        <f>+Precios!AC33*Precios!AC$3</f>
        <v>0</v>
      </c>
      <c r="AH35" s="12">
        <f>+Precios!AD33*Precios!AD$3</f>
        <v>0</v>
      </c>
      <c r="AI35" s="12">
        <f>+Precios!AE33*Precios!AE$3</f>
        <v>0</v>
      </c>
      <c r="AJ35" s="12">
        <f>+Precios!AF33*Precios!AF$3</f>
        <v>0</v>
      </c>
      <c r="AK35" s="12">
        <f>+Precios!AG33*Precios!AG$3</f>
        <v>0</v>
      </c>
      <c r="AL35" s="12">
        <f>+Precios!AH33*Precios!AH$3</f>
        <v>0</v>
      </c>
      <c r="AM35" s="12">
        <f>+Precios!AI33*Precios!AI$3</f>
        <v>0</v>
      </c>
      <c r="AN35" s="12">
        <f>+Precios!AJ33*Precios!AJ$3</f>
        <v>0</v>
      </c>
      <c r="AO35" s="12">
        <f>+Precios!AK33*Precios!AK$3</f>
        <v>0</v>
      </c>
      <c r="AP35" s="12">
        <f>+Precios!AL33*Precios!AL$3</f>
        <v>0</v>
      </c>
      <c r="AQ35" s="12">
        <f>+Precios!AM33*Precios!AM$3</f>
        <v>0</v>
      </c>
      <c r="AR35" s="12">
        <f>+Precios!AN33*Precios!AN$3</f>
        <v>0</v>
      </c>
      <c r="AS35" s="12">
        <f>+Precios!AO33*Precios!AO$3</f>
        <v>0</v>
      </c>
      <c r="AT35" s="12">
        <f>+Precios!AP33*Precios!AP$3</f>
        <v>0</v>
      </c>
      <c r="AU35" s="12">
        <f>+Precios!AQ33*Precios!AQ$3</f>
        <v>0</v>
      </c>
      <c r="AV35" s="12">
        <f>+Precios!AR33*Precios!AR$3</f>
        <v>0</v>
      </c>
      <c r="AW35" s="12">
        <f>+Precios!AS33*Precios!AS$3</f>
        <v>0</v>
      </c>
      <c r="AX35" s="12">
        <f>+Precios!AT33*Precios!AT$3</f>
        <v>0</v>
      </c>
      <c r="AY35" s="12">
        <f>+Precios!AU33*$AY$3</f>
        <v>0</v>
      </c>
      <c r="AZ35" s="12">
        <f>+Precios!AV33*Precios!AV$3</f>
        <v>0</v>
      </c>
      <c r="BA35" s="12">
        <f>+Precios!AW33*Precios!AW$3</f>
        <v>0</v>
      </c>
      <c r="BB35" s="12">
        <f>+Precios!AX33*Precios!AX$3</f>
        <v>0</v>
      </c>
      <c r="BC35" s="12">
        <f>+Precios!AY33*Precios!AY$3</f>
        <v>0</v>
      </c>
      <c r="BD35" s="12">
        <f>+Precios!AZ33*Precios!AZ$3</f>
        <v>0</v>
      </c>
      <c r="BE35" s="12">
        <f>+Precios!BA33*Precios!BA$3</f>
        <v>0</v>
      </c>
      <c r="BF35" s="12">
        <f>+Precios!BB33*Precios!BB$3</f>
        <v>0</v>
      </c>
      <c r="BG35" s="12">
        <f>+Precios!BC33*Precios!BC$3</f>
        <v>0</v>
      </c>
      <c r="BH35" s="12">
        <f>+Precios!BD33*$BH$3</f>
        <v>0</v>
      </c>
      <c r="BI35" s="12">
        <f>+Precios!BE33*Precios!BE$3</f>
        <v>0</v>
      </c>
      <c r="BJ35" s="12">
        <f>+Precios!BF33*Precios!BF$3</f>
        <v>0</v>
      </c>
      <c r="BK35" s="12">
        <f>+Precios!BG33*Precios!BG$3</f>
        <v>0</v>
      </c>
      <c r="BL35" s="12">
        <f>+Precios!BH33*Precios!BH$3</f>
        <v>0</v>
      </c>
      <c r="BM35" s="12">
        <f>+Precios!BI33*Precios!BI$3</f>
        <v>0</v>
      </c>
      <c r="BN35" s="12">
        <f>+Precios!BJ33*$BN$3</f>
        <v>0</v>
      </c>
      <c r="BO35" s="12">
        <f>+Precios!BK33*$BO$3</f>
        <v>0</v>
      </c>
      <c r="BP35" s="12">
        <f>+Precios!BL33*Precios!BL$3</f>
        <v>0</v>
      </c>
    </row>
    <row r="36" spans="1:68" ht="15" thickBot="1">
      <c r="A36" s="5">
        <f>+SUM(F36:XFD36)</f>
        <v>0</v>
      </c>
      <c r="B36" s="26"/>
      <c r="C36" s="5">
        <f t="shared" si="0"/>
        <v>5582.1900000000014</v>
      </c>
      <c r="D36" s="5">
        <f>1000000+C36-Cost!A36</f>
        <v>1005582.19</v>
      </c>
      <c r="E36" s="15">
        <f>+Precios!A34</f>
        <v>46020</v>
      </c>
      <c r="F36" s="12">
        <f>+Precios!B34*Precios!B$3</f>
        <v>0</v>
      </c>
      <c r="G36" s="12">
        <f>+Precios!C34*Precios!C$3</f>
        <v>0</v>
      </c>
      <c r="H36" s="12">
        <f>+Precios!D34*Precios!D$3</f>
        <v>0</v>
      </c>
      <c r="I36" s="12">
        <f>+Precios!E34*Precios!E$3</f>
        <v>0</v>
      </c>
      <c r="J36" s="12">
        <f>+Precios!F34*Precios!F$3</f>
        <v>0</v>
      </c>
      <c r="K36" s="12">
        <f>+Precios!G34*Precios!G$3</f>
        <v>0</v>
      </c>
      <c r="L36" s="12">
        <f>+Precios!H34*Precios!H$3</f>
        <v>0</v>
      </c>
      <c r="M36" s="12">
        <f>+Precios!I34*Precios!I$3</f>
        <v>0</v>
      </c>
      <c r="N36" s="12">
        <f>+Precios!J34*Precios!J$3</f>
        <v>0</v>
      </c>
      <c r="O36" s="12">
        <f>+Precios!K34*Precios!K$3</f>
        <v>0</v>
      </c>
      <c r="P36" s="12">
        <f>+Precios!L34*Precios!L$3</f>
        <v>0</v>
      </c>
      <c r="Q36" s="12">
        <f>+Precios!M34*Precios!M$3</f>
        <v>0</v>
      </c>
      <c r="R36" s="12">
        <f>+Precios!N34*Precios!N$3</f>
        <v>0</v>
      </c>
      <c r="S36" s="12">
        <f>+Precios!O34*Precios!O$3</f>
        <v>0</v>
      </c>
      <c r="T36" s="12">
        <f>+Precios!P34*Precios!P$3</f>
        <v>0</v>
      </c>
      <c r="U36" s="12">
        <f>+Precios!Q34*Precios!Q$3</f>
        <v>0</v>
      </c>
      <c r="V36" s="12">
        <f>+Precios!R34*Precios!R$3</f>
        <v>0</v>
      </c>
      <c r="W36" s="12">
        <f>+Precios!S34*Precios!S$3</f>
        <v>0</v>
      </c>
      <c r="X36" s="12">
        <f>+Precios!T34*Precios!T$3</f>
        <v>0</v>
      </c>
      <c r="Y36" s="12">
        <f>+Precios!U34*Precios!U$3</f>
        <v>0</v>
      </c>
      <c r="Z36" s="12">
        <f>+Precios!V34*Precios!V$3</f>
        <v>0</v>
      </c>
      <c r="AA36" s="12">
        <f>+Precios!W34*Precios!W$3</f>
        <v>0</v>
      </c>
      <c r="AB36" s="12">
        <f>+Precios!X34*Precios!X$3</f>
        <v>0</v>
      </c>
      <c r="AC36" s="12">
        <f>+Precios!Y34*Precios!Y$3</f>
        <v>0</v>
      </c>
      <c r="AD36" s="12">
        <f>+Precios!Z34*Precios!Z$3</f>
        <v>0</v>
      </c>
      <c r="AE36" s="12">
        <f>+Precios!AA34*Precios!AA$3</f>
        <v>0</v>
      </c>
      <c r="AF36" s="12">
        <f>+Precios!AB34*Precios!AB$3</f>
        <v>0</v>
      </c>
      <c r="AG36" s="12">
        <f>+Precios!AC34*Precios!AC$3</f>
        <v>0</v>
      </c>
      <c r="AH36" s="12">
        <f>+Precios!AD34*Precios!AD$3</f>
        <v>0</v>
      </c>
      <c r="AI36" s="12">
        <f>+Precios!AE34*Precios!AE$3</f>
        <v>0</v>
      </c>
      <c r="AJ36" s="12">
        <f>+Precios!AF34*Precios!AF$3</f>
        <v>0</v>
      </c>
      <c r="AK36" s="12">
        <f>+Precios!AG34*Precios!AG$3</f>
        <v>0</v>
      </c>
      <c r="AL36" s="12">
        <f>+Precios!AH34*Precios!AH$3</f>
        <v>0</v>
      </c>
      <c r="AM36" s="12">
        <f>+Precios!AI34*Precios!AI$3</f>
        <v>0</v>
      </c>
      <c r="AN36" s="12">
        <f>+Precios!AJ34*Precios!AJ$3</f>
        <v>0</v>
      </c>
      <c r="AO36" s="12">
        <f>+Precios!AK34*Precios!AK$3</f>
        <v>0</v>
      </c>
      <c r="AP36" s="12">
        <f>+Precios!AL34*Precios!AL$3</f>
        <v>0</v>
      </c>
      <c r="AQ36" s="12">
        <f>+Precios!AM34*Precios!AM$3</f>
        <v>0</v>
      </c>
      <c r="AR36" s="12">
        <f>+Precios!AN34*Precios!AN$3</f>
        <v>0</v>
      </c>
      <c r="AS36" s="12">
        <f>+Precios!AO34*Precios!AO$3</f>
        <v>0</v>
      </c>
      <c r="AT36" s="12">
        <f>+Precios!AP34*Precios!AP$3</f>
        <v>0</v>
      </c>
      <c r="AU36" s="12">
        <f>+Precios!AQ34*Precios!AQ$3</f>
        <v>0</v>
      </c>
      <c r="AV36" s="12">
        <f>+Precios!AR34*Precios!AR$3</f>
        <v>0</v>
      </c>
      <c r="AW36" s="12">
        <f>+Precios!AS34*Precios!AS$3</f>
        <v>0</v>
      </c>
      <c r="AX36" s="12">
        <f>+Precios!AT34*Precios!AT$3</f>
        <v>0</v>
      </c>
      <c r="AY36" s="12">
        <f>+Precios!AU34*$AY$3</f>
        <v>0</v>
      </c>
      <c r="AZ36" s="12">
        <f>+Precios!AV34*Precios!AV$3</f>
        <v>0</v>
      </c>
      <c r="BA36" s="12">
        <f>+Precios!AW34*Precios!AW$3</f>
        <v>0</v>
      </c>
      <c r="BB36" s="12">
        <f>+Precios!AX34*Precios!AX$3</f>
        <v>0</v>
      </c>
      <c r="BC36" s="12">
        <f>+Precios!AY34*Precios!AY$3</f>
        <v>0</v>
      </c>
      <c r="BD36" s="12">
        <f>+Precios!AZ34*Precios!AZ$3</f>
        <v>0</v>
      </c>
      <c r="BE36" s="12">
        <f>+Precios!BA34*Precios!BA$3</f>
        <v>0</v>
      </c>
      <c r="BF36" s="12">
        <f>+Precios!BB34*Precios!BB$3</f>
        <v>0</v>
      </c>
      <c r="BG36" s="12">
        <f>+Precios!BC34*Precios!BC$3</f>
        <v>0</v>
      </c>
      <c r="BH36" s="12">
        <f>+Precios!BD34*$BH$3</f>
        <v>0</v>
      </c>
      <c r="BI36" s="12">
        <f>+Precios!BE34*Precios!BE$3</f>
        <v>0</v>
      </c>
      <c r="BJ36" s="12">
        <f>+Precios!BF34*Precios!BF$3</f>
        <v>0</v>
      </c>
      <c r="BK36" s="12">
        <f>+Precios!BG34*Precios!BG$3</f>
        <v>0</v>
      </c>
      <c r="BL36" s="12">
        <f>+Precios!BH34*Precios!BH$3</f>
        <v>0</v>
      </c>
      <c r="BM36" s="12">
        <f>+Precios!BI34*Precios!BI$3</f>
        <v>0</v>
      </c>
      <c r="BN36" s="12">
        <f>+Precios!BJ34*$BN$3</f>
        <v>0</v>
      </c>
      <c r="BO36" s="12">
        <f>+Precios!BK34*$BO$3</f>
        <v>0</v>
      </c>
      <c r="BP36" s="12">
        <f>+Precios!BL34*Precios!BL$3</f>
        <v>0</v>
      </c>
    </row>
    <row r="37" spans="1:68" ht="15" thickBot="1">
      <c r="A37" s="5">
        <f>+SUM(F37:XFD37)</f>
        <v>0</v>
      </c>
      <c r="B37" s="26"/>
      <c r="C37" s="5">
        <f t="shared" si="0"/>
        <v>5582.1900000000014</v>
      </c>
      <c r="D37" s="5">
        <f>1000000+C37-Cost!A37</f>
        <v>1005582.19</v>
      </c>
      <c r="E37" s="15">
        <f>+Precios!A35</f>
        <v>46021</v>
      </c>
      <c r="F37" s="12">
        <f>+Precios!B35*Precios!B$3</f>
        <v>0</v>
      </c>
      <c r="G37" s="12">
        <f>+Precios!C35*Precios!C$3</f>
        <v>0</v>
      </c>
      <c r="H37" s="12">
        <f>+Precios!D35*Precios!D$3</f>
        <v>0</v>
      </c>
      <c r="I37" s="12">
        <f>+Precios!E35*Precios!E$3</f>
        <v>0</v>
      </c>
      <c r="J37" s="12">
        <f>+Precios!F35*Precios!F$3</f>
        <v>0</v>
      </c>
      <c r="K37" s="12">
        <f>+Precios!G35*Precios!G$3</f>
        <v>0</v>
      </c>
      <c r="L37" s="12">
        <f>+Precios!H35*Precios!H$3</f>
        <v>0</v>
      </c>
      <c r="M37" s="12">
        <f>+Precios!I35*Precios!I$3</f>
        <v>0</v>
      </c>
      <c r="N37" s="12">
        <f>+Precios!J35*Precios!J$3</f>
        <v>0</v>
      </c>
      <c r="O37" s="12">
        <f>+Precios!K35*Precios!K$3</f>
        <v>0</v>
      </c>
      <c r="P37" s="12">
        <f>+Precios!L35*Precios!L$3</f>
        <v>0</v>
      </c>
      <c r="Q37" s="12">
        <f>+Precios!M35*Precios!M$3</f>
        <v>0</v>
      </c>
      <c r="R37" s="12">
        <f>+Precios!N35*Precios!N$3</f>
        <v>0</v>
      </c>
      <c r="S37" s="12">
        <f>+Precios!O35*Precios!O$3</f>
        <v>0</v>
      </c>
      <c r="T37" s="12">
        <f>+Precios!P35*Precios!P$3</f>
        <v>0</v>
      </c>
      <c r="U37" s="12">
        <f>+Precios!Q35*Precios!Q$3</f>
        <v>0</v>
      </c>
      <c r="V37" s="12">
        <f>+Precios!R35*Precios!R$3</f>
        <v>0</v>
      </c>
      <c r="W37" s="12">
        <f>+Precios!S35*Precios!S$3</f>
        <v>0</v>
      </c>
      <c r="X37" s="12">
        <f>+Precios!T35*Precios!T$3</f>
        <v>0</v>
      </c>
      <c r="Y37" s="12">
        <f>+Precios!U35*Precios!U$3</f>
        <v>0</v>
      </c>
      <c r="Z37" s="12">
        <f>+Precios!V35*Precios!V$3</f>
        <v>0</v>
      </c>
      <c r="AA37" s="12">
        <f>+Precios!W35*Precios!W$3</f>
        <v>0</v>
      </c>
      <c r="AB37" s="12">
        <f>+Precios!X35*Precios!X$3</f>
        <v>0</v>
      </c>
      <c r="AC37" s="12">
        <f>+Precios!Y35*Precios!Y$3</f>
        <v>0</v>
      </c>
      <c r="AD37" s="12">
        <f>+Precios!Z35*Precios!Z$3</f>
        <v>0</v>
      </c>
      <c r="AE37" s="12">
        <f>+Precios!AA35*Precios!AA$3</f>
        <v>0</v>
      </c>
      <c r="AF37" s="12">
        <f>+Precios!AB35*Precios!AB$3</f>
        <v>0</v>
      </c>
      <c r="AG37" s="12">
        <f>+Precios!AC35*Precios!AC$3</f>
        <v>0</v>
      </c>
      <c r="AH37" s="12">
        <f>+Precios!AD35*Precios!AD$3</f>
        <v>0</v>
      </c>
      <c r="AI37" s="12">
        <f>+Precios!AE35*Precios!AE$3</f>
        <v>0</v>
      </c>
      <c r="AJ37" s="12">
        <f>+Precios!AF35*Precios!AF$3</f>
        <v>0</v>
      </c>
      <c r="AK37" s="12">
        <f>+Precios!AG35*Precios!AG$3</f>
        <v>0</v>
      </c>
      <c r="AL37" s="12">
        <f>+Precios!AH35*Precios!AH$3</f>
        <v>0</v>
      </c>
      <c r="AM37" s="12">
        <f>+Precios!AI35*Precios!AI$3</f>
        <v>0</v>
      </c>
      <c r="AN37" s="12">
        <f>+Precios!AJ35*Precios!AJ$3</f>
        <v>0</v>
      </c>
      <c r="AO37" s="12">
        <f>+Precios!AK35*Precios!AK$3</f>
        <v>0</v>
      </c>
      <c r="AP37" s="12">
        <f>+Precios!AL35*Precios!AL$3</f>
        <v>0</v>
      </c>
      <c r="AQ37" s="12">
        <f>+Precios!AM35*Precios!AM$3</f>
        <v>0</v>
      </c>
      <c r="AR37" s="12">
        <f>+Precios!AN35*Precios!AN$3</f>
        <v>0</v>
      </c>
      <c r="AS37" s="12">
        <f>+Precios!AO35*Precios!AO$3</f>
        <v>0</v>
      </c>
      <c r="AT37" s="12">
        <f>+Precios!AP35*Precios!AP$3</f>
        <v>0</v>
      </c>
      <c r="AU37" s="12">
        <f>+Precios!AQ35*Precios!AQ$3</f>
        <v>0</v>
      </c>
      <c r="AV37" s="12">
        <f>+Precios!AR35*Precios!AR$3</f>
        <v>0</v>
      </c>
      <c r="AW37" s="12">
        <f>+Precios!AS35*Precios!AS$3</f>
        <v>0</v>
      </c>
      <c r="AX37" s="12">
        <f>+Precios!AT35*Precios!AT$3</f>
        <v>0</v>
      </c>
      <c r="AY37" s="12">
        <f>+Precios!AU35*$AY$3</f>
        <v>0</v>
      </c>
      <c r="AZ37" s="12">
        <f>+Precios!AV35*Precios!AV$3</f>
        <v>0</v>
      </c>
      <c r="BA37" s="12">
        <f>+Precios!AW35*Precios!AW$3</f>
        <v>0</v>
      </c>
      <c r="BB37" s="12">
        <f>+Precios!AX35*Precios!AX$3</f>
        <v>0</v>
      </c>
      <c r="BC37" s="12">
        <f>+Precios!AY35*Precios!AY$3</f>
        <v>0</v>
      </c>
      <c r="BD37" s="12">
        <f>+Precios!AZ35*Precios!AZ$3</f>
        <v>0</v>
      </c>
      <c r="BE37" s="12">
        <f>+Precios!BA35*Precios!BA$3</f>
        <v>0</v>
      </c>
      <c r="BF37" s="12">
        <f>+Precios!BB35*Precios!BB$3</f>
        <v>0</v>
      </c>
      <c r="BG37" s="12">
        <f>+Precios!BC35*Precios!BC$3</f>
        <v>0</v>
      </c>
      <c r="BH37" s="12">
        <f>+Precios!BD35*$BH$3</f>
        <v>0</v>
      </c>
      <c r="BI37" s="12">
        <f>+Precios!BE35*Precios!BE$3</f>
        <v>0</v>
      </c>
      <c r="BJ37" s="12">
        <f>+Precios!BF35*Precios!BF$3</f>
        <v>0</v>
      </c>
      <c r="BK37" s="12">
        <f>+Precios!BG35*Precios!BG$3</f>
        <v>0</v>
      </c>
      <c r="BL37" s="12">
        <f>+Precios!BH35*Precios!BH$3</f>
        <v>0</v>
      </c>
      <c r="BM37" s="12">
        <f>+Precios!BI35*Precios!BI$3</f>
        <v>0</v>
      </c>
      <c r="BN37" s="12">
        <f>+Precios!BJ35*$BN$3</f>
        <v>0</v>
      </c>
      <c r="BO37" s="12">
        <f>+Precios!BK35*$BO$3</f>
        <v>0</v>
      </c>
      <c r="BP37" s="12">
        <f>+Precios!BL35*Precios!BL$3</f>
        <v>0</v>
      </c>
    </row>
    <row r="38" spans="1:68" ht="15" thickBot="1">
      <c r="A38" s="5">
        <f>+SUM(F38:XFD38)</f>
        <v>0</v>
      </c>
      <c r="B38" s="26"/>
      <c r="C38" s="5">
        <f t="shared" si="0"/>
        <v>5582.1900000000014</v>
      </c>
      <c r="D38" s="5">
        <f>1000000+C38-Cost!A38</f>
        <v>1005582.19</v>
      </c>
      <c r="E38" s="15">
        <f>+Precios!A36</f>
        <v>46022</v>
      </c>
      <c r="F38" s="12">
        <f>+Precios!B36*Precios!B$3</f>
        <v>0</v>
      </c>
      <c r="G38" s="12">
        <f>+Precios!C36*Precios!C$3</f>
        <v>0</v>
      </c>
      <c r="H38" s="12">
        <f>+Precios!D36*Precios!D$3</f>
        <v>0</v>
      </c>
      <c r="I38" s="12">
        <f>+Precios!E36*Precios!E$3</f>
        <v>0</v>
      </c>
      <c r="J38" s="12">
        <f>+Precios!F36*Precios!F$3</f>
        <v>0</v>
      </c>
      <c r="K38" s="12">
        <f>+Precios!G36*Precios!G$3</f>
        <v>0</v>
      </c>
      <c r="L38" s="12">
        <f>+Precios!H36*Precios!H$3</f>
        <v>0</v>
      </c>
      <c r="M38" s="12">
        <f>+Precios!I36*Precios!I$3</f>
        <v>0</v>
      </c>
      <c r="N38" s="12">
        <f>+Precios!J36*Precios!J$3</f>
        <v>0</v>
      </c>
      <c r="O38" s="12">
        <f>+Precios!K36*Precios!K$3</f>
        <v>0</v>
      </c>
      <c r="P38" s="12">
        <f>+Precios!L36*Precios!L$3</f>
        <v>0</v>
      </c>
      <c r="Q38" s="12">
        <f>+Precios!M36*Precios!M$3</f>
        <v>0</v>
      </c>
      <c r="R38" s="12">
        <f>+Precios!N36*Precios!N$3</f>
        <v>0</v>
      </c>
      <c r="S38" s="12">
        <f>+Precios!O36*Precios!O$3</f>
        <v>0</v>
      </c>
      <c r="T38" s="12">
        <f>+Precios!P36*Precios!P$3</f>
        <v>0</v>
      </c>
      <c r="U38" s="12">
        <f>+Precios!Q36*Precios!Q$3</f>
        <v>0</v>
      </c>
      <c r="V38" s="12">
        <f>+Precios!R36*Precios!R$3</f>
        <v>0</v>
      </c>
      <c r="W38" s="12">
        <f>+Precios!S36*Precios!S$3</f>
        <v>0</v>
      </c>
      <c r="X38" s="12">
        <f>+Precios!T36*Precios!T$3</f>
        <v>0</v>
      </c>
      <c r="Y38" s="12">
        <f>+Precios!U36*Precios!U$3</f>
        <v>0</v>
      </c>
      <c r="Z38" s="12">
        <f>+Precios!V36*Precios!V$3</f>
        <v>0</v>
      </c>
      <c r="AA38" s="12">
        <f>+Precios!W36*Precios!W$3</f>
        <v>0</v>
      </c>
      <c r="AB38" s="12">
        <f>+Precios!X36*Precios!X$3</f>
        <v>0</v>
      </c>
      <c r="AC38" s="12">
        <f>+Precios!Y36*Precios!Y$3</f>
        <v>0</v>
      </c>
      <c r="AD38" s="12">
        <f>+Precios!Z36*Precios!Z$3</f>
        <v>0</v>
      </c>
      <c r="AE38" s="12">
        <f>+Precios!AA36*Precios!AA$3</f>
        <v>0</v>
      </c>
      <c r="AF38" s="12">
        <f>+Precios!AB36*Precios!AB$3</f>
        <v>0</v>
      </c>
      <c r="AG38" s="12">
        <f>+Precios!AC36*Precios!AC$3</f>
        <v>0</v>
      </c>
      <c r="AH38" s="12">
        <f>+Precios!AD36*Precios!AD$3</f>
        <v>0</v>
      </c>
      <c r="AI38" s="12">
        <f>+Precios!AE36*Precios!AE$3</f>
        <v>0</v>
      </c>
      <c r="AJ38" s="12">
        <f>+Precios!AF36*Precios!AF$3</f>
        <v>0</v>
      </c>
      <c r="AK38" s="12">
        <f>+Precios!AG36*Precios!AG$3</f>
        <v>0</v>
      </c>
      <c r="AL38" s="12">
        <f>+Precios!AH36*Precios!AH$3</f>
        <v>0</v>
      </c>
      <c r="AM38" s="12">
        <f>+Precios!AI36*Precios!AI$3</f>
        <v>0</v>
      </c>
      <c r="AN38" s="12">
        <f>+Precios!AJ36*Precios!AJ$3</f>
        <v>0</v>
      </c>
      <c r="AO38" s="12">
        <f>+Precios!AK36*Precios!AK$3</f>
        <v>0</v>
      </c>
      <c r="AP38" s="12">
        <f>+Precios!AL36*Precios!AL$3</f>
        <v>0</v>
      </c>
      <c r="AQ38" s="12">
        <f>+Precios!AM36*Precios!AM$3</f>
        <v>0</v>
      </c>
      <c r="AR38" s="12">
        <f>+Precios!AN36*Precios!AN$3</f>
        <v>0</v>
      </c>
      <c r="AS38" s="12">
        <f>+Precios!AO36*Precios!AO$3</f>
        <v>0</v>
      </c>
      <c r="AT38" s="12">
        <f>+Precios!AP36*Precios!AP$3</f>
        <v>0</v>
      </c>
      <c r="AU38" s="12">
        <f>+Precios!AQ36*Precios!AQ$3</f>
        <v>0</v>
      </c>
      <c r="AV38" s="12">
        <f>+Precios!AR36*Precios!AR$3</f>
        <v>0</v>
      </c>
      <c r="AW38" s="12">
        <f>+Precios!AS36*Precios!AS$3</f>
        <v>0</v>
      </c>
      <c r="AX38" s="12">
        <f>+Precios!AT36*Precios!AT$3</f>
        <v>0</v>
      </c>
      <c r="AY38" s="12">
        <f>+Precios!AU36*$AY$3</f>
        <v>0</v>
      </c>
      <c r="AZ38" s="12">
        <f>+Precios!AV36*Precios!AV$3</f>
        <v>0</v>
      </c>
      <c r="BA38" s="12">
        <f>+Precios!AW36*Precios!AW$3</f>
        <v>0</v>
      </c>
      <c r="BB38" s="12">
        <f>+Precios!AX36*Precios!AX$3</f>
        <v>0</v>
      </c>
      <c r="BC38" s="12">
        <f>+Precios!AY36*Precios!AY$3</f>
        <v>0</v>
      </c>
      <c r="BD38" s="12">
        <f>+Precios!AZ36*Precios!AZ$3</f>
        <v>0</v>
      </c>
      <c r="BE38" s="12">
        <f>+Precios!BA36*Precios!BA$3</f>
        <v>0</v>
      </c>
      <c r="BF38" s="12">
        <f>+Precios!BB36*Precios!BB$3</f>
        <v>0</v>
      </c>
      <c r="BG38" s="12">
        <f>+Precios!BC36*Precios!BC$3</f>
        <v>0</v>
      </c>
      <c r="BH38" s="12">
        <f>+Precios!BD36*$BH$3</f>
        <v>0</v>
      </c>
      <c r="BI38" s="12">
        <f>+Precios!BE36*Precios!BE$3</f>
        <v>0</v>
      </c>
      <c r="BJ38" s="12">
        <f>+Precios!BF36*Precios!BF$3</f>
        <v>0</v>
      </c>
      <c r="BK38" s="12">
        <f>+Precios!BG36*Precios!BG$3</f>
        <v>0</v>
      </c>
      <c r="BL38" s="12">
        <f>+Precios!BH36*Precios!BH$3</f>
        <v>0</v>
      </c>
      <c r="BM38" s="12">
        <f>+Precios!BI36*Precios!BI$3</f>
        <v>0</v>
      </c>
      <c r="BN38" s="12">
        <f>+Precios!BJ36*$BN$3</f>
        <v>0</v>
      </c>
      <c r="BO38" s="12">
        <f>+Precios!BK36*$BO$3</f>
        <v>0</v>
      </c>
      <c r="BP38" s="12">
        <f>+Precios!BL36*Precios!BL$3</f>
        <v>0</v>
      </c>
    </row>
    <row r="39" spans="1:68" ht="15" thickBot="1">
      <c r="A39" s="5">
        <f>+SUM(F39:XFD39)</f>
        <v>0</v>
      </c>
      <c r="B39" s="26"/>
      <c r="C39" s="5">
        <f t="shared" si="0"/>
        <v>5582.1900000000014</v>
      </c>
      <c r="D39" s="5">
        <f>1000000+C39-Cost!A39</f>
        <v>1005582.19</v>
      </c>
      <c r="E39" s="15">
        <f>+Precios!A37</f>
        <v>46023</v>
      </c>
      <c r="F39" s="12">
        <f>+Precios!B37*Precios!B$3</f>
        <v>0</v>
      </c>
      <c r="G39" s="12">
        <f>+Precios!C37*Precios!C$3</f>
        <v>0</v>
      </c>
      <c r="H39" s="12">
        <f>+Precios!D37*Precios!D$3</f>
        <v>0</v>
      </c>
      <c r="I39" s="12">
        <f>+Precios!E37*Precios!E$3</f>
        <v>0</v>
      </c>
      <c r="J39" s="12">
        <f>+Precios!F37*Precios!F$3</f>
        <v>0</v>
      </c>
      <c r="K39" s="12">
        <f>+Precios!G37*Precios!G$3</f>
        <v>0</v>
      </c>
      <c r="L39" s="12">
        <f>+Precios!H37*Precios!H$3</f>
        <v>0</v>
      </c>
      <c r="M39" s="12">
        <f>+Precios!I37*Precios!I$3</f>
        <v>0</v>
      </c>
      <c r="N39" s="12">
        <f>+Precios!J37*Precios!J$3</f>
        <v>0</v>
      </c>
      <c r="O39" s="12">
        <f>+Precios!K37*Precios!K$3</f>
        <v>0</v>
      </c>
      <c r="P39" s="12">
        <f>+Precios!L37*Precios!L$3</f>
        <v>0</v>
      </c>
      <c r="Q39" s="12">
        <f>+Precios!M37*Precios!M$3</f>
        <v>0</v>
      </c>
      <c r="R39" s="12">
        <f>+Precios!N37*Precios!N$3</f>
        <v>0</v>
      </c>
      <c r="S39" s="12">
        <f>+Precios!O37*Precios!O$3</f>
        <v>0</v>
      </c>
      <c r="T39" s="12">
        <f>+Precios!P37*Precios!P$3</f>
        <v>0</v>
      </c>
      <c r="U39" s="12">
        <f>+Precios!Q37*Precios!Q$3</f>
        <v>0</v>
      </c>
      <c r="V39" s="12">
        <f>+Precios!R37*Precios!R$3</f>
        <v>0</v>
      </c>
      <c r="W39" s="12">
        <f>+Precios!S37*Precios!S$3</f>
        <v>0</v>
      </c>
      <c r="X39" s="12">
        <f>+Precios!T37*Precios!T$3</f>
        <v>0</v>
      </c>
      <c r="Y39" s="12">
        <f>+Precios!U37*Precios!U$3</f>
        <v>0</v>
      </c>
      <c r="Z39" s="12">
        <f>+Precios!V37*Precios!V$3</f>
        <v>0</v>
      </c>
      <c r="AA39" s="12">
        <f>+Precios!W37*Precios!W$3</f>
        <v>0</v>
      </c>
      <c r="AB39" s="12">
        <f>+Precios!X37*Precios!X$3</f>
        <v>0</v>
      </c>
      <c r="AC39" s="12">
        <f>+Precios!Y37*Precios!Y$3</f>
        <v>0</v>
      </c>
      <c r="AD39" s="12">
        <f>+Precios!Z37*Precios!Z$3</f>
        <v>0</v>
      </c>
      <c r="AE39" s="12">
        <f>+Precios!AA37*Precios!AA$3</f>
        <v>0</v>
      </c>
      <c r="AF39" s="12">
        <f>+Precios!AB37*Precios!AB$3</f>
        <v>0</v>
      </c>
      <c r="AG39" s="12">
        <f>+Precios!AC37*Precios!AC$3</f>
        <v>0</v>
      </c>
      <c r="AH39" s="12">
        <f>+Precios!AD37*Precios!AD$3</f>
        <v>0</v>
      </c>
      <c r="AI39" s="12">
        <f>+Precios!AE37*Precios!AE$3</f>
        <v>0</v>
      </c>
      <c r="AJ39" s="12">
        <f>+Precios!AF37*Precios!AF$3</f>
        <v>0</v>
      </c>
      <c r="AK39" s="12">
        <f>+Precios!AG37*Precios!AG$3</f>
        <v>0</v>
      </c>
      <c r="AL39" s="12">
        <f>+Precios!AH37*Precios!AH$3</f>
        <v>0</v>
      </c>
      <c r="AM39" s="12">
        <f>+Precios!AI37*Precios!AI$3</f>
        <v>0</v>
      </c>
      <c r="AN39" s="12">
        <f>+Precios!AJ37*Precios!AJ$3</f>
        <v>0</v>
      </c>
      <c r="AO39" s="12">
        <f>+Precios!AK37*Precios!AK$3</f>
        <v>0</v>
      </c>
      <c r="AP39" s="12">
        <f>+Precios!AL37*Precios!AL$3</f>
        <v>0</v>
      </c>
      <c r="AQ39" s="12">
        <f>+Precios!AM37*Precios!AM$3</f>
        <v>0</v>
      </c>
      <c r="AR39" s="12">
        <f>+Precios!AN37*Precios!AN$3</f>
        <v>0</v>
      </c>
      <c r="AS39" s="12">
        <f>+Precios!AO37*Precios!AO$3</f>
        <v>0</v>
      </c>
      <c r="AT39" s="12">
        <f>+Precios!AP37*Precios!AP$3</f>
        <v>0</v>
      </c>
      <c r="AU39" s="12">
        <f>+Precios!AQ37*Precios!AQ$3</f>
        <v>0</v>
      </c>
      <c r="AV39" s="12">
        <f>+Precios!AR37*Precios!AR$3</f>
        <v>0</v>
      </c>
      <c r="AW39" s="12">
        <f>+Precios!AS37*Precios!AS$3</f>
        <v>0</v>
      </c>
      <c r="AX39" s="12">
        <f>+Precios!AT37*Precios!AT$3</f>
        <v>0</v>
      </c>
      <c r="AY39" s="12">
        <f>+Precios!AU37*$AY$3</f>
        <v>0</v>
      </c>
      <c r="AZ39" s="12">
        <f>+Precios!AV37*Precios!AV$3</f>
        <v>0</v>
      </c>
      <c r="BA39" s="12">
        <f>+Precios!AW37*Precios!AW$3</f>
        <v>0</v>
      </c>
      <c r="BB39" s="12">
        <f>+Precios!AX37*Precios!AX$3</f>
        <v>0</v>
      </c>
      <c r="BC39" s="12">
        <f>+Precios!AY37*Precios!AY$3</f>
        <v>0</v>
      </c>
      <c r="BD39" s="12">
        <f>+Precios!AZ37*Precios!AZ$3</f>
        <v>0</v>
      </c>
      <c r="BE39" s="12">
        <f>+Precios!BA37*Precios!BA$3</f>
        <v>0</v>
      </c>
      <c r="BF39" s="12">
        <f>+Precios!BB37*Precios!BB$3</f>
        <v>0</v>
      </c>
      <c r="BG39" s="12">
        <f>+Precios!BC37*Precios!BC$3</f>
        <v>0</v>
      </c>
      <c r="BH39" s="12">
        <f>+Precios!BD37*$BH$3</f>
        <v>0</v>
      </c>
      <c r="BI39" s="12">
        <f>+Precios!BE37*Precios!BE$3</f>
        <v>0</v>
      </c>
      <c r="BJ39" s="12">
        <f>+Precios!BF37*Precios!BF$3</f>
        <v>0</v>
      </c>
      <c r="BK39" s="12">
        <f>+Precios!BG37*Precios!BG$3</f>
        <v>0</v>
      </c>
      <c r="BL39" s="12">
        <f>+Precios!BH37*Precios!BH$3</f>
        <v>0</v>
      </c>
      <c r="BM39" s="12">
        <f>+Precios!BI37*Precios!BI$3</f>
        <v>0</v>
      </c>
      <c r="BN39" s="12">
        <f>+Precios!BJ37*$BN$3</f>
        <v>0</v>
      </c>
      <c r="BO39" s="12">
        <f>+Precios!BK37*$BO$3</f>
        <v>0</v>
      </c>
      <c r="BP39" s="12">
        <f>+Precios!BL37*Precios!BL$3</f>
        <v>0</v>
      </c>
    </row>
    <row r="40" spans="1:68" ht="15" thickBot="1">
      <c r="A40" s="5">
        <f>+SUM(F40:XFD40)</f>
        <v>0</v>
      </c>
      <c r="B40" s="26">
        <f>+TRACK!M16</f>
        <v>-770.00000000000318</v>
      </c>
      <c r="C40" s="5">
        <f t="shared" si="0"/>
        <v>4812.1899999999987</v>
      </c>
      <c r="D40" s="5">
        <f>1000000+C40-Cost!A40</f>
        <v>1004812.19</v>
      </c>
      <c r="E40" s="15">
        <f>+Precios!A38</f>
        <v>46024</v>
      </c>
      <c r="F40" s="12">
        <f>+Precios!B38*Precios!B$3</f>
        <v>0</v>
      </c>
      <c r="G40" s="12">
        <f>+Precios!C38*Precios!C$3</f>
        <v>0</v>
      </c>
      <c r="H40" s="12">
        <f>+Precios!D38*Precios!D$3</f>
        <v>0</v>
      </c>
      <c r="I40" s="12">
        <f>+Precios!E38*Precios!E$3</f>
        <v>0</v>
      </c>
      <c r="J40" s="12">
        <f>+Precios!F38*Precios!F$3</f>
        <v>0</v>
      </c>
      <c r="K40" s="12">
        <f>+Precios!G38*Precios!G$3</f>
        <v>0</v>
      </c>
      <c r="L40" s="12">
        <f>+Precios!H38*Precios!H$3</f>
        <v>0</v>
      </c>
      <c r="M40" s="12">
        <f>+Precios!I38*Precios!I$3</f>
        <v>0</v>
      </c>
      <c r="N40" s="12">
        <f>+Precios!J38*Precios!J$3</f>
        <v>0</v>
      </c>
      <c r="O40" s="12">
        <f>+Precios!K38*Precios!K$3</f>
        <v>0</v>
      </c>
      <c r="P40" s="12">
        <f>+Precios!L38*Precios!L$3</f>
        <v>0</v>
      </c>
      <c r="Q40" s="12">
        <f>+Precios!M38*Precios!M$3</f>
        <v>0</v>
      </c>
      <c r="R40" s="12">
        <f>+Precios!N38*Precios!N$3</f>
        <v>0</v>
      </c>
      <c r="S40" s="12">
        <f>+Precios!O38*Precios!O$3</f>
        <v>0</v>
      </c>
      <c r="T40" s="12">
        <f>+Precios!P38*Precios!P$3</f>
        <v>0</v>
      </c>
      <c r="U40" s="12">
        <f>+Precios!Q38*Precios!Q$3</f>
        <v>0</v>
      </c>
      <c r="V40" s="12">
        <f>+Precios!R38*Precios!R$3</f>
        <v>0</v>
      </c>
      <c r="W40" s="12">
        <f>+Precios!S38*Precios!S$3</f>
        <v>0</v>
      </c>
      <c r="X40" s="12">
        <f>+Precios!T38*Precios!T$3</f>
        <v>0</v>
      </c>
      <c r="Y40" s="12">
        <f>+Precios!U38*Precios!U$3</f>
        <v>0</v>
      </c>
      <c r="Z40" s="12">
        <f>+Precios!V38*Precios!V$3</f>
        <v>0</v>
      </c>
      <c r="AA40" s="12">
        <f>+Precios!W38*Precios!W$3</f>
        <v>0</v>
      </c>
      <c r="AB40" s="12">
        <f>+Precios!X38*Precios!X$3</f>
        <v>0</v>
      </c>
      <c r="AC40" s="12">
        <f>+Precios!Y38*Precios!Y$3</f>
        <v>0</v>
      </c>
      <c r="AD40" s="12">
        <f>+Precios!Z38*Precios!Z$3</f>
        <v>0</v>
      </c>
      <c r="AE40" s="12">
        <f>+Precios!AA38*Precios!AA$3</f>
        <v>0</v>
      </c>
      <c r="AF40" s="12">
        <f>+Precios!AB38*Precios!AB$3</f>
        <v>0</v>
      </c>
      <c r="AG40" s="12">
        <f>+Precios!AC38*Precios!AC$3</f>
        <v>0</v>
      </c>
      <c r="AH40" s="12">
        <f>+Precios!AD38*Precios!AD$3</f>
        <v>0</v>
      </c>
      <c r="AI40" s="12">
        <f>+Precios!AE38*Precios!AE$3</f>
        <v>0</v>
      </c>
      <c r="AJ40" s="12">
        <f>+Precios!AF38*Precios!AF$3</f>
        <v>0</v>
      </c>
      <c r="AK40" s="12">
        <f>+Precios!AG38*Precios!AG$3</f>
        <v>0</v>
      </c>
      <c r="AL40" s="12">
        <f>+Precios!AH38*Precios!AH$3</f>
        <v>0</v>
      </c>
      <c r="AM40" s="12">
        <f>+Precios!AI38*Precios!AI$3</f>
        <v>0</v>
      </c>
      <c r="AN40" s="12">
        <f>+Precios!AJ38*Precios!AJ$3</f>
        <v>0</v>
      </c>
      <c r="AO40" s="12">
        <f>+Precios!AK38*Precios!AK$3</f>
        <v>0</v>
      </c>
      <c r="AP40" s="12">
        <f>+Precios!AL38*Precios!AL$3</f>
        <v>0</v>
      </c>
      <c r="AQ40" s="12">
        <f>+Precios!AM38*Precios!AM$3</f>
        <v>0</v>
      </c>
      <c r="AR40" s="12">
        <f>+Precios!AN38*Precios!AN$3</f>
        <v>0</v>
      </c>
      <c r="AS40" s="12">
        <f>+Precios!AO38*Precios!AO$3</f>
        <v>0</v>
      </c>
      <c r="AT40" s="12">
        <f>+Precios!AP38*Precios!AP$3</f>
        <v>0</v>
      </c>
      <c r="AU40" s="12">
        <f>+Precios!AQ38*Precios!AQ$3</f>
        <v>0</v>
      </c>
      <c r="AV40" s="12">
        <f>+Precios!AR38*Precios!AR$3</f>
        <v>0</v>
      </c>
      <c r="AW40" s="12">
        <f>+Precios!AS38*Precios!AS$3</f>
        <v>0</v>
      </c>
      <c r="AX40" s="12">
        <f>+Precios!AT38*Precios!AT$3</f>
        <v>0</v>
      </c>
      <c r="AY40" s="12">
        <f>+Precios!AU38*$AY$3</f>
        <v>0</v>
      </c>
      <c r="AZ40" s="12">
        <f>+Precios!AV38*Precios!AV$3</f>
        <v>0</v>
      </c>
      <c r="BA40" s="12">
        <f>+Precios!AW38*Precios!AW$3</f>
        <v>0</v>
      </c>
      <c r="BB40" s="12">
        <f>+Precios!AX38*Precios!AX$3</f>
        <v>0</v>
      </c>
      <c r="BC40" s="12">
        <f>+Precios!AY38*Precios!AY$3</f>
        <v>0</v>
      </c>
      <c r="BD40" s="12">
        <f>+Precios!AZ38*Precios!AZ$3</f>
        <v>0</v>
      </c>
      <c r="BE40" s="12">
        <f>+Precios!BA38*Precios!BA$3</f>
        <v>0</v>
      </c>
      <c r="BF40" s="12">
        <f>+Precios!BB38*Precios!BB$3</f>
        <v>0</v>
      </c>
      <c r="BG40" s="12">
        <f>+Precios!BC38*Precios!BC$3</f>
        <v>0</v>
      </c>
      <c r="BH40" s="12">
        <f>+Precios!BD38*$BH$3</f>
        <v>0</v>
      </c>
      <c r="BI40" s="12">
        <f>+Precios!BE38*Precios!BE$3</f>
        <v>0</v>
      </c>
      <c r="BJ40" s="12">
        <f>+Precios!BF38*Precios!BF$3</f>
        <v>0</v>
      </c>
      <c r="BK40" s="12">
        <f>+Precios!BG38*Precios!BG$3</f>
        <v>0</v>
      </c>
      <c r="BL40" s="12">
        <f>+Precios!BH38*Precios!BH$3</f>
        <v>0</v>
      </c>
      <c r="BM40" s="12">
        <f>+Precios!BI38*Precios!BI$3</f>
        <v>0</v>
      </c>
      <c r="BN40" s="12">
        <f>+Precios!BJ38*$BN$3</f>
        <v>0</v>
      </c>
      <c r="BO40" s="12">
        <f>+Precios!BK38*$BO$3</f>
        <v>0</v>
      </c>
      <c r="BP40" s="12">
        <f>+Precios!BL38*Precios!BL$3</f>
        <v>0</v>
      </c>
    </row>
    <row r="41" spans="1:68" ht="15" thickBot="1">
      <c r="A41" s="5">
        <f>+SUM(F41:XFD41)</f>
        <v>0</v>
      </c>
      <c r="B41" s="26"/>
      <c r="C41" s="5">
        <f t="shared" si="0"/>
        <v>4812.1899999999987</v>
      </c>
      <c r="D41" s="5">
        <f>1000000+C41-Cost!A41</f>
        <v>1004812.19</v>
      </c>
      <c r="E41" s="15">
        <f>+Precios!A39</f>
        <v>46027</v>
      </c>
      <c r="F41" s="12">
        <f>+Precios!B39*Precios!B$3</f>
        <v>0</v>
      </c>
      <c r="G41" s="12">
        <f>+Precios!C39*Precios!C$3</f>
        <v>0</v>
      </c>
      <c r="H41" s="12">
        <f>+Precios!D39*Precios!D$3</f>
        <v>0</v>
      </c>
      <c r="I41" s="12">
        <f>+Precios!E39*Precios!E$3</f>
        <v>0</v>
      </c>
      <c r="J41" s="12">
        <f>+Precios!F39*Precios!F$3</f>
        <v>0</v>
      </c>
      <c r="K41" s="12">
        <f>+Precios!G39*Precios!G$3</f>
        <v>0</v>
      </c>
      <c r="L41" s="12">
        <f>+Precios!H39*Precios!H$3</f>
        <v>0</v>
      </c>
      <c r="M41" s="12">
        <f>+Precios!I39*Precios!I$3</f>
        <v>0</v>
      </c>
      <c r="N41" s="12">
        <f>+Precios!J39*Precios!J$3</f>
        <v>0</v>
      </c>
      <c r="O41" s="12">
        <f>+Precios!K39*Precios!K$3</f>
        <v>0</v>
      </c>
      <c r="P41" s="12">
        <f>+Precios!L39*Precios!L$3</f>
        <v>0</v>
      </c>
      <c r="Q41" s="12">
        <f>+Precios!M39*Precios!M$3</f>
        <v>0</v>
      </c>
      <c r="R41" s="12">
        <f>+Precios!N39*Precios!N$3</f>
        <v>0</v>
      </c>
      <c r="S41" s="12">
        <f>+Precios!O39*Precios!O$3</f>
        <v>0</v>
      </c>
      <c r="T41" s="12">
        <f>+Precios!P39*Precios!P$3</f>
        <v>0</v>
      </c>
      <c r="U41" s="12">
        <f>+Precios!Q39*Precios!Q$3</f>
        <v>0</v>
      </c>
      <c r="V41" s="12">
        <f>+Precios!R39*Precios!R$3</f>
        <v>0</v>
      </c>
      <c r="W41" s="12">
        <f>+Precios!S39*Precios!S$3</f>
        <v>0</v>
      </c>
      <c r="X41" s="12">
        <f>+Precios!T39*Precios!T$3</f>
        <v>0</v>
      </c>
      <c r="Y41" s="12">
        <f>+Precios!U39*Precios!U$3</f>
        <v>0</v>
      </c>
      <c r="Z41" s="12">
        <f>+Precios!V39*Precios!V$3</f>
        <v>0</v>
      </c>
      <c r="AA41" s="12">
        <f>+Precios!W39*Precios!W$3</f>
        <v>0</v>
      </c>
      <c r="AB41" s="12">
        <f>+Precios!X39*Precios!X$3</f>
        <v>0</v>
      </c>
      <c r="AC41" s="12">
        <f>+Precios!Y39*Precios!Y$3</f>
        <v>0</v>
      </c>
      <c r="AD41" s="12">
        <f>+Precios!Z39*Precios!Z$3</f>
        <v>0</v>
      </c>
      <c r="AE41" s="12">
        <f>+Precios!AA39*Precios!AA$3</f>
        <v>0</v>
      </c>
      <c r="AF41" s="12">
        <f>+Precios!AB39*Precios!AB$3</f>
        <v>0</v>
      </c>
      <c r="AG41" s="12">
        <f>+Precios!AC39*Precios!AC$3</f>
        <v>0</v>
      </c>
      <c r="AH41" s="12">
        <f>+Precios!AD39*Precios!AD$3</f>
        <v>0</v>
      </c>
      <c r="AI41" s="12">
        <f>+Precios!AE39*Precios!AE$3</f>
        <v>0</v>
      </c>
      <c r="AJ41" s="12">
        <f>+Precios!AF39*Precios!AF$3</f>
        <v>0</v>
      </c>
      <c r="AK41" s="12">
        <f>+Precios!AG39*Precios!AG$3</f>
        <v>0</v>
      </c>
      <c r="AL41" s="12">
        <f>+Precios!AH39*Precios!AH$3</f>
        <v>0</v>
      </c>
      <c r="AM41" s="12">
        <f>+Precios!AI39*Precios!AI$3</f>
        <v>0</v>
      </c>
      <c r="AN41" s="12">
        <f>+Precios!AJ39*Precios!AJ$3</f>
        <v>0</v>
      </c>
      <c r="AO41" s="12">
        <f>+Precios!AK39*Precios!AK$3</f>
        <v>0</v>
      </c>
      <c r="AP41" s="12">
        <f>+Precios!AL39*Precios!AL$3</f>
        <v>0</v>
      </c>
      <c r="AQ41" s="12">
        <f>+Precios!AM39*Precios!AM$3</f>
        <v>0</v>
      </c>
      <c r="AR41" s="12">
        <f>+Precios!AN39*Precios!AN$3</f>
        <v>0</v>
      </c>
      <c r="AS41" s="12">
        <f>+Precios!AO39*Precios!AO$3</f>
        <v>0</v>
      </c>
      <c r="AT41" s="12">
        <f>+Precios!AP39*Precios!AP$3</f>
        <v>0</v>
      </c>
      <c r="AU41" s="12">
        <f>+Precios!AQ39*Precios!AQ$3</f>
        <v>0</v>
      </c>
      <c r="AV41" s="12">
        <f>+Precios!AR39*Precios!AR$3</f>
        <v>0</v>
      </c>
      <c r="AW41" s="12">
        <f>+Precios!AS39*Precios!AS$3</f>
        <v>0</v>
      </c>
      <c r="AX41" s="12">
        <f>+Precios!AT39*Precios!AT$3</f>
        <v>0</v>
      </c>
      <c r="AY41" s="12">
        <f>+Precios!AU39*$AY$3</f>
        <v>0</v>
      </c>
      <c r="AZ41" s="12">
        <f>+Precios!AV39*Precios!AV$3</f>
        <v>0</v>
      </c>
      <c r="BA41" s="12">
        <f>+Precios!AW39*Precios!AW$3</f>
        <v>0</v>
      </c>
      <c r="BB41" s="12">
        <f>+Precios!AX39*Precios!AX$3</f>
        <v>0</v>
      </c>
      <c r="BC41" s="12">
        <f>+Precios!AY39*Precios!AY$3</f>
        <v>0</v>
      </c>
      <c r="BD41" s="12">
        <f>+Precios!AZ39*Precios!AZ$3</f>
        <v>0</v>
      </c>
      <c r="BE41" s="12">
        <f>+Precios!BA39*Precios!BA$3</f>
        <v>0</v>
      </c>
      <c r="BF41" s="12">
        <f>+Precios!BB39*Precios!BB$3</f>
        <v>0</v>
      </c>
      <c r="BG41" s="12">
        <f>+Precios!BC39*Precios!BC$3</f>
        <v>0</v>
      </c>
      <c r="BH41" s="12">
        <f>+Precios!BD39*$BH$3</f>
        <v>0</v>
      </c>
      <c r="BI41" s="12">
        <f>+Precios!BE39*Precios!BE$3</f>
        <v>0</v>
      </c>
      <c r="BJ41" s="12">
        <f>+Precios!BF39*Precios!BF$3</f>
        <v>0</v>
      </c>
      <c r="BK41" s="12">
        <f>+Precios!BG39*Precios!BG$3</f>
        <v>0</v>
      </c>
      <c r="BL41" s="12">
        <f>+Precios!BH39*Precios!BH$3</f>
        <v>0</v>
      </c>
      <c r="BM41" s="12">
        <f>+Precios!BI39*Precios!BI$3</f>
        <v>0</v>
      </c>
      <c r="BN41" s="12">
        <f>+Precios!BJ39*$BN$3</f>
        <v>0</v>
      </c>
      <c r="BO41" s="12">
        <f>+Precios!BK39*$BO$3</f>
        <v>0</v>
      </c>
      <c r="BP41" s="12">
        <f>+Precios!BL39*Precios!BL$3</f>
        <v>0</v>
      </c>
    </row>
    <row r="42" spans="1:68" ht="15" thickBot="1">
      <c r="A42" s="5">
        <f>+SUM(F42:XFD42)</f>
        <v>0</v>
      </c>
      <c r="B42" s="26"/>
      <c r="C42" s="5">
        <f t="shared" si="0"/>
        <v>4812.1899999999987</v>
      </c>
      <c r="D42" s="5">
        <f>1000000+C42-Cost!A42</f>
        <v>1004812.19</v>
      </c>
      <c r="E42" s="15">
        <f>+Precios!A40</f>
        <v>46028</v>
      </c>
      <c r="F42" s="12">
        <f>+Precios!B40*Precios!B$3</f>
        <v>0</v>
      </c>
      <c r="G42" s="12">
        <f>+Precios!C40*Precios!C$3</f>
        <v>0</v>
      </c>
      <c r="H42" s="12">
        <f>+Precios!D40*Precios!D$3</f>
        <v>0</v>
      </c>
      <c r="I42" s="12">
        <f>+Precios!E40*Precios!E$3</f>
        <v>0</v>
      </c>
      <c r="J42" s="12">
        <f>+Precios!F40*Precios!F$3</f>
        <v>0</v>
      </c>
      <c r="K42" s="12">
        <f>+Precios!G40*Precios!G$3</f>
        <v>0</v>
      </c>
      <c r="L42" s="12">
        <f>+Precios!H40*Precios!H$3</f>
        <v>0</v>
      </c>
      <c r="M42" s="12">
        <f>+Precios!I40*Precios!I$3</f>
        <v>0</v>
      </c>
      <c r="N42" s="12">
        <f>+Precios!J40*Precios!J$3</f>
        <v>0</v>
      </c>
      <c r="O42" s="12">
        <f>+Precios!K40*Precios!K$3</f>
        <v>0</v>
      </c>
      <c r="P42" s="12">
        <f>+Precios!L40*Precios!L$3</f>
        <v>0</v>
      </c>
      <c r="Q42" s="12">
        <f>+Precios!M40*Precios!M$3</f>
        <v>0</v>
      </c>
      <c r="R42" s="12">
        <f>+Precios!N40*Precios!N$3</f>
        <v>0</v>
      </c>
      <c r="S42" s="12">
        <f>+Precios!O40*Precios!O$3</f>
        <v>0</v>
      </c>
      <c r="T42" s="12">
        <f>+Precios!P40*Precios!P$3</f>
        <v>0</v>
      </c>
      <c r="U42" s="12">
        <f>+Precios!Q40*Precios!Q$3</f>
        <v>0</v>
      </c>
      <c r="V42" s="12">
        <f>+Precios!R40*Precios!R$3</f>
        <v>0</v>
      </c>
      <c r="W42" s="12">
        <f>+Precios!S40*Precios!S$3</f>
        <v>0</v>
      </c>
      <c r="X42" s="12">
        <f>+Precios!T40*Precios!T$3</f>
        <v>0</v>
      </c>
      <c r="Y42" s="12">
        <f>+Precios!U40*Precios!U$3</f>
        <v>0</v>
      </c>
      <c r="Z42" s="12">
        <f>+Precios!V40*Precios!V$3</f>
        <v>0</v>
      </c>
      <c r="AA42" s="12">
        <f>+Precios!W40*Precios!W$3</f>
        <v>0</v>
      </c>
      <c r="AB42" s="12">
        <f>+Precios!X40*Precios!X$3</f>
        <v>0</v>
      </c>
      <c r="AC42" s="12">
        <f>+Precios!Y40*Precios!Y$3</f>
        <v>0</v>
      </c>
      <c r="AD42" s="12">
        <f>+Precios!Z40*Precios!Z$3</f>
        <v>0</v>
      </c>
      <c r="AE42" s="12">
        <f>+Precios!AA40*Precios!AA$3</f>
        <v>0</v>
      </c>
      <c r="AF42" s="12">
        <f>+Precios!AB40*Precios!AB$3</f>
        <v>0</v>
      </c>
      <c r="AG42" s="12">
        <f>+Precios!AC40*Precios!AC$3</f>
        <v>0</v>
      </c>
      <c r="AH42" s="12">
        <f>+Precios!AD40*Precios!AD$3</f>
        <v>0</v>
      </c>
      <c r="AI42" s="12">
        <f>+Precios!AE40*Precios!AE$3</f>
        <v>0</v>
      </c>
      <c r="AJ42" s="12">
        <f>+Precios!AF40*Precios!AF$3</f>
        <v>0</v>
      </c>
      <c r="AK42" s="12">
        <f>+Precios!AG40*Precios!AG$3</f>
        <v>0</v>
      </c>
      <c r="AL42" s="12">
        <f>+Precios!AH40*Precios!AH$3</f>
        <v>0</v>
      </c>
      <c r="AM42" s="12">
        <f>+Precios!AI40*Precios!AI$3</f>
        <v>0</v>
      </c>
      <c r="AN42" s="12">
        <f>+Precios!AJ40*Precios!AJ$3</f>
        <v>0</v>
      </c>
      <c r="AO42" s="12">
        <f>+Precios!AK40*Precios!AK$3</f>
        <v>0</v>
      </c>
      <c r="AP42" s="12">
        <f>+Precios!AL40*Precios!AL$3</f>
        <v>0</v>
      </c>
      <c r="AQ42" s="12">
        <f>+Precios!AM40*Precios!AM$3</f>
        <v>0</v>
      </c>
      <c r="AR42" s="12">
        <f>+Precios!AN40*Precios!AN$3</f>
        <v>0</v>
      </c>
      <c r="AS42" s="12">
        <f>+Precios!AO40*Precios!AO$3</f>
        <v>0</v>
      </c>
      <c r="AT42" s="12">
        <f>+Precios!AP40*Precios!AP$3</f>
        <v>0</v>
      </c>
      <c r="AU42" s="12">
        <f>+Precios!AQ40*Precios!AQ$3</f>
        <v>0</v>
      </c>
      <c r="AV42" s="12">
        <f>+Precios!AR40*Precios!AR$3</f>
        <v>0</v>
      </c>
      <c r="AW42" s="12">
        <f>+Precios!AS40*Precios!AS$3</f>
        <v>0</v>
      </c>
      <c r="AX42" s="12">
        <f>+Precios!AT40*Precios!AT$3</f>
        <v>0</v>
      </c>
      <c r="AY42" s="12">
        <f>+Precios!AU40*$AY$3</f>
        <v>0</v>
      </c>
      <c r="AZ42" s="12">
        <f>+Precios!AV40*Precios!AV$3</f>
        <v>0</v>
      </c>
      <c r="BA42" s="12">
        <f>+Precios!AW40*Precios!AW$3</f>
        <v>0</v>
      </c>
      <c r="BB42" s="12">
        <f>+Precios!AX40*Precios!AX$3</f>
        <v>0</v>
      </c>
      <c r="BC42" s="12">
        <f>+Precios!AY40*Precios!AY$3</f>
        <v>0</v>
      </c>
      <c r="BD42" s="12">
        <f>+Precios!AZ40*Precios!AZ$3</f>
        <v>0</v>
      </c>
      <c r="BE42" s="12">
        <f>+Precios!BA40*Precios!BA$3</f>
        <v>0</v>
      </c>
      <c r="BF42" s="12">
        <f>+Precios!BB40*Precios!BB$3</f>
        <v>0</v>
      </c>
      <c r="BG42" s="12">
        <f>+Precios!BC40*Precios!BC$3</f>
        <v>0</v>
      </c>
      <c r="BH42" s="12">
        <f>+Precios!BD40*$BH$3</f>
        <v>0</v>
      </c>
      <c r="BI42" s="12">
        <f>+Precios!BE40*Precios!BE$3</f>
        <v>0</v>
      </c>
      <c r="BJ42" s="12">
        <f>+Precios!BF40*Precios!BF$3</f>
        <v>0</v>
      </c>
      <c r="BK42" s="12">
        <f>+Precios!BG40*Precios!BG$3</f>
        <v>0</v>
      </c>
      <c r="BL42" s="12">
        <f>+Precios!BH40*Precios!BH$3</f>
        <v>0</v>
      </c>
      <c r="BM42" s="12">
        <f>+Precios!BI40*Precios!BI$3</f>
        <v>0</v>
      </c>
      <c r="BN42" s="12">
        <f>+Precios!BJ40*$BN$3</f>
        <v>0</v>
      </c>
      <c r="BO42" s="12">
        <f>+Precios!BK40*$BO$3</f>
        <v>0</v>
      </c>
      <c r="BP42" s="12">
        <f>+Precios!BL40*Precios!BL$3</f>
        <v>0</v>
      </c>
    </row>
    <row r="43" spans="1:68" ht="15" thickBot="1">
      <c r="A43" s="5">
        <f>+SUM(F43:XFD43)</f>
        <v>0</v>
      </c>
      <c r="B43" s="26">
        <f>+TRACK!M17</f>
        <v>-6700.0000000000027</v>
      </c>
      <c r="C43" s="5">
        <f t="shared" si="0"/>
        <v>-1887.810000000004</v>
      </c>
      <c r="D43" s="5">
        <f>1000000+C43-Cost!A43</f>
        <v>998112.19</v>
      </c>
      <c r="E43" s="15">
        <f>+Precios!A41</f>
        <v>46029</v>
      </c>
      <c r="F43" s="12">
        <f>+Precios!B41*Precios!B$3</f>
        <v>0</v>
      </c>
      <c r="G43" s="12">
        <f>+Precios!C41*Precios!C$3</f>
        <v>0</v>
      </c>
      <c r="H43" s="12">
        <f>+Precios!D41*Precios!D$3</f>
        <v>0</v>
      </c>
      <c r="I43" s="12">
        <f>+Precios!E41*Precios!E$3</f>
        <v>0</v>
      </c>
      <c r="J43" s="12">
        <f>+Precios!F41*Precios!F$3</f>
        <v>0</v>
      </c>
      <c r="K43" s="12">
        <f>+Precios!G41*Precios!G$3</f>
        <v>0</v>
      </c>
      <c r="L43" s="12">
        <f>+Precios!H41*Precios!H$3</f>
        <v>0</v>
      </c>
      <c r="M43" s="12">
        <f>+Precios!I41*Precios!I$3</f>
        <v>0</v>
      </c>
      <c r="N43" s="12">
        <f>+Precios!J41*Precios!J$3</f>
        <v>0</v>
      </c>
      <c r="O43" s="12">
        <f>+Precios!K41*Precios!K$3</f>
        <v>0</v>
      </c>
      <c r="P43" s="12">
        <f>+Precios!L41*Precios!L$3</f>
        <v>0</v>
      </c>
      <c r="Q43" s="12">
        <f>+Precios!M41*Precios!M$3</f>
        <v>0</v>
      </c>
      <c r="R43" s="12">
        <f>+Precios!N41*Precios!N$3</f>
        <v>0</v>
      </c>
      <c r="S43" s="12">
        <f>+Precios!O41*Precios!O$3</f>
        <v>0</v>
      </c>
      <c r="T43" s="12">
        <f>+Precios!P41*Precios!P$3</f>
        <v>0</v>
      </c>
      <c r="U43" s="12">
        <f>+Precios!Q41*Precios!Q$3</f>
        <v>0</v>
      </c>
      <c r="V43" s="12">
        <f>+Precios!R41*Precios!R$3</f>
        <v>0</v>
      </c>
      <c r="W43" s="12">
        <f>+Precios!S41*Precios!S$3</f>
        <v>0</v>
      </c>
      <c r="X43" s="12">
        <f>+Precios!T41*Precios!T$3</f>
        <v>0</v>
      </c>
      <c r="Y43" s="12">
        <f>+Precios!U41*Precios!U$3</f>
        <v>0</v>
      </c>
      <c r="Z43" s="12">
        <f>+Precios!V41*Precios!V$3</f>
        <v>0</v>
      </c>
      <c r="AA43" s="12">
        <f>+Precios!W41*Precios!W$3</f>
        <v>0</v>
      </c>
      <c r="AB43" s="12">
        <f>+Precios!X41*Precios!X$3</f>
        <v>0</v>
      </c>
      <c r="AC43" s="12">
        <f>+Precios!Y41*Precios!Y$3</f>
        <v>0</v>
      </c>
      <c r="AD43" s="12">
        <f>+Precios!Z41*Precios!Z$3</f>
        <v>0</v>
      </c>
      <c r="AE43" s="12">
        <f>+Precios!AA41*Precios!AA$3</f>
        <v>0</v>
      </c>
      <c r="AF43" s="12">
        <f>+Precios!AB41*Precios!AB$3</f>
        <v>0</v>
      </c>
      <c r="AG43" s="12">
        <f>+Precios!AC41*Precios!AC$3</f>
        <v>0</v>
      </c>
      <c r="AH43" s="12">
        <f>+Precios!AD41*Precios!AD$3</f>
        <v>0</v>
      </c>
      <c r="AI43" s="12">
        <f>+Precios!AE41*Precios!AE$3</f>
        <v>0</v>
      </c>
      <c r="AJ43" s="12">
        <f>+Precios!AF41*Precios!AF$3</f>
        <v>0</v>
      </c>
      <c r="AK43" s="12">
        <f>+Precios!AG41*Precios!AG$3</f>
        <v>0</v>
      </c>
      <c r="AL43" s="12">
        <f>+Precios!AH41*Precios!AH$3</f>
        <v>0</v>
      </c>
      <c r="AM43" s="12">
        <f>+Precios!AI41*Precios!AI$3</f>
        <v>0</v>
      </c>
      <c r="AN43" s="12">
        <f>+Precios!AJ41*Precios!AJ$3</f>
        <v>0</v>
      </c>
      <c r="AO43" s="12">
        <f>+Precios!AK41*Precios!AK$3</f>
        <v>0</v>
      </c>
      <c r="AP43" s="12">
        <f>+Precios!AL41*Precios!AL$3</f>
        <v>0</v>
      </c>
      <c r="AQ43" s="12">
        <f>+Precios!AM41*Precios!AM$3</f>
        <v>0</v>
      </c>
      <c r="AR43" s="12">
        <f>+Precios!AN41*Precios!AN$3</f>
        <v>0</v>
      </c>
      <c r="AS43" s="12">
        <f>+Precios!AO41*Precios!AO$3</f>
        <v>0</v>
      </c>
      <c r="AT43" s="12">
        <f>+Precios!AP41*Precios!AP$3</f>
        <v>0</v>
      </c>
      <c r="AU43" s="12">
        <f>+Precios!AQ41*Precios!AQ$3</f>
        <v>0</v>
      </c>
      <c r="AV43" s="12">
        <f>+Precios!AR41*Precios!AR$3</f>
        <v>0</v>
      </c>
      <c r="AW43" s="12">
        <f>+Precios!AS41*Precios!AS$3</f>
        <v>0</v>
      </c>
      <c r="AX43" s="12">
        <f>+Precios!AT41*Precios!AT$3</f>
        <v>0</v>
      </c>
      <c r="AY43" s="12">
        <f>+Precios!AU41*$AY$3</f>
        <v>0</v>
      </c>
      <c r="AZ43" s="12">
        <f>+Precios!AV41*Precios!AV$3</f>
        <v>0</v>
      </c>
      <c r="BA43" s="12">
        <f>+Precios!AW41*Precios!AW$3</f>
        <v>0</v>
      </c>
      <c r="BB43" s="12">
        <f>+Precios!AX41*Precios!AX$3</f>
        <v>0</v>
      </c>
      <c r="BC43" s="12">
        <f>+Precios!AY41*Precios!AY$3</f>
        <v>0</v>
      </c>
      <c r="BD43" s="12">
        <f>+Precios!AZ41*Precios!AZ$3</f>
        <v>0</v>
      </c>
      <c r="BE43" s="12">
        <f>+Precios!BA41*Precios!BA$3</f>
        <v>0</v>
      </c>
      <c r="BF43" s="12">
        <f>+Precios!BB41*Precios!BB$3</f>
        <v>0</v>
      </c>
      <c r="BG43" s="12">
        <f>+Precios!BC41*Precios!BC$3</f>
        <v>0</v>
      </c>
      <c r="BH43" s="12">
        <f>+Precios!BD41*$BH$3</f>
        <v>0</v>
      </c>
      <c r="BI43" s="12">
        <f>+Precios!BE41*Precios!BE$3</f>
        <v>0</v>
      </c>
      <c r="BJ43" s="12">
        <f>+Precios!BF41*Precios!BF$3</f>
        <v>0</v>
      </c>
      <c r="BK43" s="12">
        <f>+Precios!BG41*Precios!BG$3</f>
        <v>0</v>
      </c>
      <c r="BL43" s="12">
        <f>+Precios!BH41*Precios!BH$3</f>
        <v>0</v>
      </c>
      <c r="BM43" s="12">
        <f>+Precios!BI41*Precios!BI$3</f>
        <v>0</v>
      </c>
      <c r="BN43" s="12">
        <f>+Precios!BJ41*$BN$3</f>
        <v>0</v>
      </c>
      <c r="BO43" s="12">
        <f>+Precios!BK41*$BO$3</f>
        <v>0</v>
      </c>
      <c r="BP43" s="12">
        <f>+Precios!BL41*Precios!BL$3</f>
        <v>0</v>
      </c>
    </row>
    <row r="44" spans="1:68" ht="15" thickBot="1">
      <c r="A44" s="5">
        <f>+SUM(F44:XFD44)</f>
        <v>0</v>
      </c>
      <c r="B44" s="26"/>
      <c r="C44" s="5">
        <f t="shared" si="0"/>
        <v>-1887.810000000004</v>
      </c>
      <c r="D44" s="5">
        <f>1000000+C44-Cost!A44</f>
        <v>998112.19</v>
      </c>
      <c r="E44" s="15">
        <f>+Precios!A42</f>
        <v>46030</v>
      </c>
      <c r="F44" s="12">
        <f>+Precios!B42*Precios!B$3</f>
        <v>0</v>
      </c>
      <c r="G44" s="12">
        <f>+Precios!C42*Precios!C$3</f>
        <v>0</v>
      </c>
      <c r="H44" s="12">
        <f>+Precios!D42*Precios!D$3</f>
        <v>0</v>
      </c>
      <c r="I44" s="12">
        <f>+Precios!E42*Precios!E$3</f>
        <v>0</v>
      </c>
      <c r="J44" s="12">
        <f>+Precios!F42*Precios!F$3</f>
        <v>0</v>
      </c>
      <c r="K44" s="12">
        <f>+Precios!G42*Precios!G$3</f>
        <v>0</v>
      </c>
      <c r="L44" s="12">
        <f>+Precios!H42*Precios!H$3</f>
        <v>0</v>
      </c>
      <c r="M44" s="12">
        <f>+Precios!I42*Precios!I$3</f>
        <v>0</v>
      </c>
      <c r="N44" s="12">
        <f>+Precios!J42*Precios!J$3</f>
        <v>0</v>
      </c>
      <c r="O44" s="12">
        <f>+Precios!K42*Precios!K$3</f>
        <v>0</v>
      </c>
      <c r="P44" s="12">
        <f>+Precios!L42*Precios!L$3</f>
        <v>0</v>
      </c>
      <c r="Q44" s="12">
        <f>+Precios!M42*Precios!M$3</f>
        <v>0</v>
      </c>
      <c r="R44" s="12">
        <f>+Precios!N42*Precios!N$3</f>
        <v>0</v>
      </c>
      <c r="S44" s="12">
        <f>+Precios!O42*Precios!O$3</f>
        <v>0</v>
      </c>
      <c r="T44" s="12">
        <f>+Precios!P42*Precios!P$3</f>
        <v>0</v>
      </c>
      <c r="U44" s="12">
        <f>+Precios!Q42*Precios!Q$3</f>
        <v>0</v>
      </c>
      <c r="V44" s="12">
        <f>+Precios!R42*Precios!R$3</f>
        <v>0</v>
      </c>
      <c r="W44" s="12">
        <f>+Precios!S42*Precios!S$3</f>
        <v>0</v>
      </c>
      <c r="X44" s="12">
        <f>+Precios!T42*Precios!T$3</f>
        <v>0</v>
      </c>
      <c r="Y44" s="12">
        <f>+Precios!U42*Precios!U$3</f>
        <v>0</v>
      </c>
      <c r="Z44" s="12">
        <f>+Precios!V42*Precios!V$3</f>
        <v>0</v>
      </c>
      <c r="AA44" s="12">
        <f>+Precios!W42*Precios!W$3</f>
        <v>0</v>
      </c>
      <c r="AB44" s="12">
        <f>+Precios!X42*Precios!X$3</f>
        <v>0</v>
      </c>
      <c r="AC44" s="12">
        <f>+Precios!Y42*Precios!Y$3</f>
        <v>0</v>
      </c>
      <c r="AD44" s="12">
        <f>+Precios!Z42*Precios!Z$3</f>
        <v>0</v>
      </c>
      <c r="AE44" s="12">
        <f>+Precios!AA42*Precios!AA$3</f>
        <v>0</v>
      </c>
      <c r="AF44" s="12">
        <f>+Precios!AB42*Precios!AB$3</f>
        <v>0</v>
      </c>
      <c r="AG44" s="12">
        <f>+Precios!AC42*Precios!AC$3</f>
        <v>0</v>
      </c>
      <c r="AH44" s="12">
        <f>+Precios!AD42*Precios!AD$3</f>
        <v>0</v>
      </c>
      <c r="AI44" s="12">
        <f>+Precios!AE42*Precios!AE$3</f>
        <v>0</v>
      </c>
      <c r="AJ44" s="12">
        <f>+Precios!AF42*Precios!AF$3</f>
        <v>0</v>
      </c>
      <c r="AK44" s="12">
        <f>+Precios!AG42*Precios!AG$3</f>
        <v>0</v>
      </c>
      <c r="AL44" s="12">
        <f>+Precios!AH42*Precios!AH$3</f>
        <v>0</v>
      </c>
      <c r="AM44" s="12">
        <f>+Precios!AI42*Precios!AI$3</f>
        <v>0</v>
      </c>
      <c r="AN44" s="12">
        <f>+Precios!AJ42*Precios!AJ$3</f>
        <v>0</v>
      </c>
      <c r="AO44" s="12">
        <f>+Precios!AK42*Precios!AK$3</f>
        <v>0</v>
      </c>
      <c r="AP44" s="12">
        <f>+Precios!AL42*Precios!AL$3</f>
        <v>0</v>
      </c>
      <c r="AQ44" s="12">
        <f>+Precios!AM42*Precios!AM$3</f>
        <v>0</v>
      </c>
      <c r="AR44" s="12">
        <f>+Precios!AN42*Precios!AN$3</f>
        <v>0</v>
      </c>
      <c r="AS44" s="12">
        <f>+Precios!AO42*Precios!AO$3</f>
        <v>0</v>
      </c>
      <c r="AT44" s="12">
        <f>+Precios!AP42*Precios!AP$3</f>
        <v>0</v>
      </c>
      <c r="AU44" s="12">
        <f>+Precios!AQ42*Precios!AQ$3</f>
        <v>0</v>
      </c>
      <c r="AV44" s="12">
        <f>+Precios!AR42*Precios!AR$3</f>
        <v>0</v>
      </c>
      <c r="AW44" s="12">
        <f>+Precios!AS42*Precios!AS$3</f>
        <v>0</v>
      </c>
      <c r="AX44" s="12">
        <f>+Precios!AT42*Precios!AT$3</f>
        <v>0</v>
      </c>
      <c r="AY44" s="12">
        <f>+Precios!AU42*$AY$3</f>
        <v>0</v>
      </c>
      <c r="AZ44" s="12">
        <f>+Precios!AV42*Precios!AV$3</f>
        <v>0</v>
      </c>
      <c r="BA44" s="12">
        <f>+Precios!AW42*Precios!AW$3</f>
        <v>0</v>
      </c>
      <c r="BB44" s="12">
        <f>+Precios!AX42*Precios!AX$3</f>
        <v>0</v>
      </c>
      <c r="BC44" s="12">
        <f>+Precios!AY42*Precios!AY$3</f>
        <v>0</v>
      </c>
      <c r="BD44" s="12">
        <f>+Precios!AZ42*Precios!AZ$3</f>
        <v>0</v>
      </c>
      <c r="BE44" s="12">
        <f>+Precios!BA42*Precios!BA$3</f>
        <v>0</v>
      </c>
      <c r="BF44" s="12">
        <f>+Precios!BB42*Precios!BB$3</f>
        <v>0</v>
      </c>
      <c r="BG44" s="12">
        <f>+Precios!BC42*Precios!BC$3</f>
        <v>0</v>
      </c>
      <c r="BH44" s="12">
        <f>+Precios!BD42*$BH$3</f>
        <v>0</v>
      </c>
      <c r="BI44" s="12">
        <f>+Precios!BE42*Precios!BE$3</f>
        <v>0</v>
      </c>
      <c r="BJ44" s="12">
        <f>+Precios!BF42*Precios!BF$3</f>
        <v>0</v>
      </c>
      <c r="BK44" s="12">
        <f>+Precios!BG42*Precios!BG$3</f>
        <v>0</v>
      </c>
      <c r="BL44" s="12">
        <f>+Precios!BH42*Precios!BH$3</f>
        <v>0</v>
      </c>
      <c r="BM44" s="12">
        <f>+Precios!BI42*Precios!BI$3</f>
        <v>0</v>
      </c>
      <c r="BN44" s="12">
        <f>+Precios!BJ42*$BN$3</f>
        <v>0</v>
      </c>
      <c r="BO44" s="12">
        <f>+Precios!BK42*$BO$3</f>
        <v>0</v>
      </c>
      <c r="BP44" s="12">
        <f>+Precios!BL42*Precios!BL$3</f>
        <v>0</v>
      </c>
    </row>
    <row r="45" spans="1:68" ht="15" thickBot="1">
      <c r="A45" s="5">
        <f>+SUM(F45:XFD45)</f>
        <v>0</v>
      </c>
      <c r="B45" s="26">
        <f>+TRACK!M18+TRACK!M19</f>
        <v>20879.999999999993</v>
      </c>
      <c r="C45" s="5">
        <f t="shared" si="0"/>
        <v>18992.189999999988</v>
      </c>
      <c r="D45" s="5">
        <f>1000000+C45-Cost!A45</f>
        <v>1018992.19</v>
      </c>
      <c r="E45" s="15">
        <f>+Precios!A43</f>
        <v>46031</v>
      </c>
      <c r="F45" s="12">
        <f>+Precios!B43*Precios!B$3</f>
        <v>0</v>
      </c>
      <c r="G45" s="12">
        <f>+Precios!C43*Precios!C$3</f>
        <v>0</v>
      </c>
      <c r="H45" s="12">
        <f>+Precios!D43*Precios!D$3</f>
        <v>0</v>
      </c>
      <c r="I45" s="12">
        <f>+Precios!E43*Precios!E$3</f>
        <v>0</v>
      </c>
      <c r="J45" s="12">
        <f>+Precios!F43*Precios!F$3</f>
        <v>0</v>
      </c>
      <c r="K45" s="12">
        <f>+Precios!G43*Precios!G$3</f>
        <v>0</v>
      </c>
      <c r="L45" s="12">
        <f>+Precios!H43*Precios!H$3</f>
        <v>0</v>
      </c>
      <c r="M45" s="12">
        <f>+Precios!I43*Precios!I$3</f>
        <v>0</v>
      </c>
      <c r="N45" s="12">
        <f>+Precios!J43*Precios!J$3</f>
        <v>0</v>
      </c>
      <c r="O45" s="12">
        <f>+Precios!K43*Precios!K$3</f>
        <v>0</v>
      </c>
      <c r="P45" s="12">
        <f>+Precios!L43*Precios!L$3</f>
        <v>0</v>
      </c>
      <c r="Q45" s="12">
        <f>+Precios!M43*Precios!M$3</f>
        <v>0</v>
      </c>
      <c r="R45" s="12">
        <f>+Precios!N43*Precios!N$3</f>
        <v>0</v>
      </c>
      <c r="S45" s="12">
        <f>+Precios!O43*Precios!O$3</f>
        <v>0</v>
      </c>
      <c r="T45" s="12">
        <f>+Precios!P43*Precios!P$3</f>
        <v>0</v>
      </c>
      <c r="U45" s="12">
        <f>+Precios!Q43*Precios!Q$3</f>
        <v>0</v>
      </c>
      <c r="V45" s="12">
        <f>+Precios!R43*Precios!R$3</f>
        <v>0</v>
      </c>
      <c r="W45" s="12">
        <f>+Precios!S43*Precios!S$3</f>
        <v>0</v>
      </c>
      <c r="X45" s="12">
        <f>+Precios!T43*Precios!T$3</f>
        <v>0</v>
      </c>
      <c r="Y45" s="12">
        <f>+Precios!U43*Precios!U$3</f>
        <v>0</v>
      </c>
      <c r="Z45" s="12">
        <f>+Precios!V43*Precios!V$3</f>
        <v>0</v>
      </c>
      <c r="AA45" s="12">
        <f>+Precios!W43*Precios!W$3</f>
        <v>0</v>
      </c>
      <c r="AB45" s="12">
        <f>+Precios!X43*Precios!X$3</f>
        <v>0</v>
      </c>
      <c r="AC45" s="12">
        <f>+Precios!Y43*Precios!Y$3</f>
        <v>0</v>
      </c>
      <c r="AD45" s="12">
        <f>+Precios!Z43*Precios!Z$3</f>
        <v>0</v>
      </c>
      <c r="AE45" s="12">
        <f>+Precios!AA43*Precios!AA$3</f>
        <v>0</v>
      </c>
      <c r="AF45" s="12">
        <f>+Precios!AB43*Precios!AB$3</f>
        <v>0</v>
      </c>
      <c r="AG45" s="12">
        <f>+Precios!AC43*Precios!AC$3</f>
        <v>0</v>
      </c>
      <c r="AH45" s="12">
        <f>+Precios!AD43*Precios!AD$3</f>
        <v>0</v>
      </c>
      <c r="AI45" s="12">
        <f>+Precios!AE43*Precios!AE$3</f>
        <v>0</v>
      </c>
      <c r="AJ45" s="12">
        <f>+Precios!AF43*Precios!AF$3</f>
        <v>0</v>
      </c>
      <c r="AK45" s="12">
        <f>+Precios!AG43*Precios!AG$3</f>
        <v>0</v>
      </c>
      <c r="AL45" s="12">
        <f>+Precios!AH43*Precios!AH$3</f>
        <v>0</v>
      </c>
      <c r="AM45" s="12">
        <f>+Precios!AI43*Precios!AI$3</f>
        <v>0</v>
      </c>
      <c r="AN45" s="12">
        <f>+Precios!AJ43*Precios!AJ$3</f>
        <v>0</v>
      </c>
      <c r="AO45" s="12">
        <f>+Precios!AK43*Precios!AK$3</f>
        <v>0</v>
      </c>
      <c r="AP45" s="12">
        <f>+Precios!AL43*Precios!AL$3</f>
        <v>0</v>
      </c>
      <c r="AQ45" s="12">
        <f>+Precios!AM43*Precios!AM$3</f>
        <v>0</v>
      </c>
      <c r="AR45" s="12">
        <f>+Precios!AN43*Precios!AN$3</f>
        <v>0</v>
      </c>
      <c r="AS45" s="12">
        <f>+Precios!AO43*Precios!AO$3</f>
        <v>0</v>
      </c>
      <c r="AT45" s="12">
        <f>+Precios!AP43*Precios!AP$3</f>
        <v>0</v>
      </c>
      <c r="AU45" s="12">
        <f>+Precios!AQ43*Precios!AQ$3</f>
        <v>0</v>
      </c>
      <c r="AV45" s="12">
        <f>+Precios!AR43*Precios!AR$3</f>
        <v>0</v>
      </c>
      <c r="AW45" s="12">
        <f>+Precios!AS43*Precios!AS$3</f>
        <v>0</v>
      </c>
      <c r="AX45" s="12">
        <f>+Precios!AT43*Precios!AT$3</f>
        <v>0</v>
      </c>
      <c r="AY45" s="12">
        <f>+Precios!AU43*$AY$3</f>
        <v>0</v>
      </c>
      <c r="AZ45" s="12">
        <f>+Precios!AV43*Precios!AV$3</f>
        <v>0</v>
      </c>
      <c r="BA45" s="12">
        <f>+Precios!AW43*Precios!AW$3</f>
        <v>0</v>
      </c>
      <c r="BB45" s="12">
        <f>+Precios!AX43*Precios!AX$3</f>
        <v>0</v>
      </c>
      <c r="BC45" s="12">
        <f>+Precios!AY43*Precios!AY$3</f>
        <v>0</v>
      </c>
      <c r="BD45" s="12">
        <f>+Precios!AZ43*Precios!AZ$3</f>
        <v>0</v>
      </c>
      <c r="BE45" s="12">
        <f>+Precios!BA43*Precios!BA$3</f>
        <v>0</v>
      </c>
      <c r="BF45" s="12">
        <f>+Precios!BB43*Precios!BB$3</f>
        <v>0</v>
      </c>
      <c r="BG45" s="12">
        <f>+Precios!BC43*Precios!BC$3</f>
        <v>0</v>
      </c>
      <c r="BH45" s="12">
        <f>+Precios!BD43*$BH$3</f>
        <v>0</v>
      </c>
      <c r="BI45" s="12">
        <f>+Precios!BE43*Precios!BE$3</f>
        <v>0</v>
      </c>
      <c r="BJ45" s="12">
        <f>+Precios!BF43*Precios!BF$3</f>
        <v>0</v>
      </c>
      <c r="BK45" s="12">
        <f>+Precios!BG43*Precios!BG$3</f>
        <v>0</v>
      </c>
      <c r="BL45" s="12">
        <f>+Precios!BH43*Precios!BH$3</f>
        <v>0</v>
      </c>
      <c r="BM45" s="12">
        <f>+Precios!BI43*Precios!BI$3</f>
        <v>0</v>
      </c>
      <c r="BN45" s="12">
        <f>+Precios!BJ43*$BN$3</f>
        <v>0</v>
      </c>
      <c r="BO45" s="12">
        <f>+Precios!BK43*$BO$3</f>
        <v>0</v>
      </c>
      <c r="BP45" s="12">
        <f>+Precios!BL43*Precios!BL$3</f>
        <v>0</v>
      </c>
    </row>
    <row r="46" spans="1:68" ht="15" thickBot="1">
      <c r="A46" s="5">
        <f>+SUM(F46:XFD46)</f>
        <v>0</v>
      </c>
      <c r="B46" s="26"/>
      <c r="C46" s="5">
        <f t="shared" si="0"/>
        <v>18992.189999999988</v>
      </c>
      <c r="D46" s="5">
        <f>1000000+C46-Cost!A46</f>
        <v>1018992.19</v>
      </c>
      <c r="E46" s="15">
        <f>+Precios!A44</f>
        <v>46034</v>
      </c>
      <c r="F46" s="12">
        <f>+Precios!B44*Precios!B$3</f>
        <v>0</v>
      </c>
      <c r="G46" s="12">
        <f>+Precios!C44*Precios!C$3</f>
        <v>0</v>
      </c>
      <c r="H46" s="12">
        <f>+Precios!D44*Precios!D$3</f>
        <v>0</v>
      </c>
      <c r="I46" s="12">
        <f>+Precios!E44*Precios!E$3</f>
        <v>0</v>
      </c>
      <c r="J46" s="12">
        <f>+Precios!F44*Precios!F$3</f>
        <v>0</v>
      </c>
      <c r="K46" s="12">
        <f>+Precios!G44*Precios!G$3</f>
        <v>0</v>
      </c>
      <c r="L46" s="12">
        <f>+Precios!H44*Precios!H$3</f>
        <v>0</v>
      </c>
      <c r="M46" s="12">
        <f>+Precios!I44*Precios!I$3</f>
        <v>0</v>
      </c>
      <c r="N46" s="12">
        <f>+Precios!J44*Precios!J$3</f>
        <v>0</v>
      </c>
      <c r="O46" s="12">
        <f>+Precios!K44*Precios!K$3</f>
        <v>0</v>
      </c>
      <c r="P46" s="12">
        <f>+Precios!L44*Precios!L$3</f>
        <v>0</v>
      </c>
      <c r="Q46" s="12">
        <f>+Precios!M44*Precios!M$3</f>
        <v>0</v>
      </c>
      <c r="R46" s="12">
        <f>+Precios!N44*Precios!N$3</f>
        <v>0</v>
      </c>
      <c r="S46" s="12">
        <f>+Precios!O44*Precios!O$3</f>
        <v>0</v>
      </c>
      <c r="T46" s="12">
        <f>+Precios!P44*Precios!P$3</f>
        <v>0</v>
      </c>
      <c r="U46" s="12">
        <f>+Precios!Q44*Precios!Q$3</f>
        <v>0</v>
      </c>
      <c r="V46" s="12">
        <f>+Precios!R44*Precios!R$3</f>
        <v>0</v>
      </c>
      <c r="W46" s="12">
        <f>+Precios!S44*Precios!S$3</f>
        <v>0</v>
      </c>
      <c r="X46" s="12">
        <f>+Precios!T44*Precios!T$3</f>
        <v>0</v>
      </c>
      <c r="Y46" s="12">
        <f>+Precios!U44*Precios!U$3</f>
        <v>0</v>
      </c>
      <c r="Z46" s="12">
        <f>+Precios!V44*Precios!V$3</f>
        <v>0</v>
      </c>
      <c r="AA46" s="12">
        <f>+Precios!W44*Precios!W$3</f>
        <v>0</v>
      </c>
      <c r="AB46" s="12">
        <f>+Precios!X44*Precios!X$3</f>
        <v>0</v>
      </c>
      <c r="AC46" s="12">
        <f>+Precios!Y44*Precios!Y$3</f>
        <v>0</v>
      </c>
      <c r="AD46" s="12">
        <f>+Precios!Z44*Precios!Z$3</f>
        <v>0</v>
      </c>
      <c r="AE46" s="12">
        <f>+Precios!AA44*Precios!AA$3</f>
        <v>0</v>
      </c>
      <c r="AF46" s="12">
        <f>+Precios!AB44*Precios!AB$3</f>
        <v>0</v>
      </c>
      <c r="AG46" s="12">
        <f>+Precios!AC44*Precios!AC$3</f>
        <v>0</v>
      </c>
      <c r="AH46" s="12">
        <f>+Precios!AD44*Precios!AD$3</f>
        <v>0</v>
      </c>
      <c r="AI46" s="12">
        <f>+Precios!AE44*Precios!AE$3</f>
        <v>0</v>
      </c>
      <c r="AJ46" s="12">
        <f>+Precios!AF44*Precios!AF$3</f>
        <v>0</v>
      </c>
      <c r="AK46" s="12">
        <f>+Precios!AG44*Precios!AG$3</f>
        <v>0</v>
      </c>
      <c r="AL46" s="12">
        <f>+Precios!AH44*Precios!AH$3</f>
        <v>0</v>
      </c>
      <c r="AM46" s="12">
        <f>+Precios!AI44*Precios!AI$3</f>
        <v>0</v>
      </c>
      <c r="AN46" s="12">
        <f>+Precios!AJ44*Precios!AJ$3</f>
        <v>0</v>
      </c>
      <c r="AO46" s="12">
        <f>+Precios!AK44*Precios!AK$3</f>
        <v>0</v>
      </c>
      <c r="AP46" s="12">
        <f>+Precios!AL44*Precios!AL$3</f>
        <v>0</v>
      </c>
      <c r="AQ46" s="12">
        <f>+Precios!AM44*Precios!AM$3</f>
        <v>0</v>
      </c>
      <c r="AR46" s="12">
        <f>+Precios!AN44*Precios!AN$3</f>
        <v>0</v>
      </c>
      <c r="AS46" s="12">
        <f>+Precios!AO44*Precios!AO$3</f>
        <v>0</v>
      </c>
      <c r="AT46" s="12">
        <f>+Precios!AP44*Precios!AP$3</f>
        <v>0</v>
      </c>
      <c r="AU46" s="12">
        <f>+Precios!AQ44*Precios!AQ$3</f>
        <v>0</v>
      </c>
      <c r="AV46" s="12">
        <f>+Precios!AR44*Precios!AR$3</f>
        <v>0</v>
      </c>
      <c r="AW46" s="12">
        <f>+Precios!AS44*Precios!AS$3</f>
        <v>0</v>
      </c>
      <c r="AX46" s="12">
        <f>+Precios!AT44*Precios!AT$3</f>
        <v>0</v>
      </c>
      <c r="AY46" s="12">
        <f>+Precios!AU44*$AY$3</f>
        <v>0</v>
      </c>
      <c r="AZ46" s="12">
        <f>+Precios!AV44*Precios!AV$3</f>
        <v>0</v>
      </c>
      <c r="BA46" s="12">
        <f>+Precios!AW44*Precios!AW$3</f>
        <v>0</v>
      </c>
      <c r="BB46" s="12">
        <f>+Precios!AX44*Precios!AX$3</f>
        <v>0</v>
      </c>
      <c r="BC46" s="12">
        <f>+Precios!AY44*Precios!AY$3</f>
        <v>0</v>
      </c>
      <c r="BD46" s="12">
        <f>+Precios!AZ44*Precios!AZ$3</f>
        <v>0</v>
      </c>
      <c r="BE46" s="12">
        <f>+Precios!BA44*Precios!BA$3</f>
        <v>0</v>
      </c>
      <c r="BF46" s="12">
        <f>+Precios!BB44*Precios!BB$3</f>
        <v>0</v>
      </c>
      <c r="BG46" s="12">
        <f>+Precios!BC44*Precios!BC$3</f>
        <v>0</v>
      </c>
      <c r="BH46" s="12">
        <f>+Precios!BD44*$BH$3</f>
        <v>0</v>
      </c>
      <c r="BI46" s="12">
        <f>+Precios!BE44*Precios!BE$3</f>
        <v>0</v>
      </c>
      <c r="BJ46" s="12">
        <f>+Precios!BF44*Precios!BF$3</f>
        <v>0</v>
      </c>
      <c r="BK46" s="12">
        <f>+Precios!BG44*Precios!BG$3</f>
        <v>0</v>
      </c>
      <c r="BL46" s="12">
        <f>+Precios!BH44*Precios!BH$3</f>
        <v>0</v>
      </c>
      <c r="BM46" s="12">
        <f>+Precios!BI44*Precios!BI$3</f>
        <v>0</v>
      </c>
      <c r="BN46" s="12">
        <f>+Precios!BJ44*$BN$3</f>
        <v>0</v>
      </c>
      <c r="BO46" s="12">
        <f>+Precios!BK44*$BO$3</f>
        <v>0</v>
      </c>
      <c r="BP46" s="12">
        <f>+Precios!BL44*Precios!BL$3</f>
        <v>0</v>
      </c>
    </row>
    <row r="47" spans="1:68" ht="15" thickBot="1">
      <c r="A47" s="5">
        <f>+SUM(F47:XFD47)</f>
        <v>0</v>
      </c>
      <c r="B47" s="26">
        <f>+TRACK!M20</f>
        <v>840.0000000000008</v>
      </c>
      <c r="C47" s="5">
        <f t="shared" si="0"/>
        <v>19832.189999999988</v>
      </c>
      <c r="D47" s="5">
        <f>1000000+C47-Cost!A47</f>
        <v>1019832.19</v>
      </c>
      <c r="E47" s="15">
        <f>+Precios!A45</f>
        <v>46035</v>
      </c>
      <c r="F47" s="12">
        <f>+Precios!B45*Precios!B$3</f>
        <v>0</v>
      </c>
      <c r="G47" s="12">
        <f>+Precios!C45*Precios!C$3</f>
        <v>0</v>
      </c>
      <c r="H47" s="12">
        <f>+Precios!D45*Precios!D$3</f>
        <v>0</v>
      </c>
      <c r="I47" s="12">
        <f>+Precios!E45*Precios!E$3</f>
        <v>0</v>
      </c>
      <c r="J47" s="12">
        <f>+Precios!F45*Precios!F$3</f>
        <v>0</v>
      </c>
      <c r="K47" s="12">
        <f>+Precios!G45*Precios!G$3</f>
        <v>0</v>
      </c>
      <c r="L47" s="12">
        <f>+Precios!H45*Precios!H$3</f>
        <v>0</v>
      </c>
      <c r="M47" s="12">
        <f>+Precios!I45*Precios!I$3</f>
        <v>0</v>
      </c>
      <c r="N47" s="12">
        <f>+Precios!J45*Precios!J$3</f>
        <v>0</v>
      </c>
      <c r="O47" s="12">
        <f>+Precios!K45*Precios!K$3</f>
        <v>0</v>
      </c>
      <c r="P47" s="12">
        <f>+Precios!L45*Precios!L$3</f>
        <v>0</v>
      </c>
      <c r="Q47" s="12">
        <f>+Precios!M45*Precios!M$3</f>
        <v>0</v>
      </c>
      <c r="R47" s="12">
        <f>+Precios!N45*Precios!N$3</f>
        <v>0</v>
      </c>
      <c r="S47" s="12">
        <f>+Precios!O45*Precios!O$3</f>
        <v>0</v>
      </c>
      <c r="T47" s="12">
        <f>+Precios!P45*Precios!P$3</f>
        <v>0</v>
      </c>
      <c r="U47" s="12">
        <f>+Precios!Q45*Precios!Q$3</f>
        <v>0</v>
      </c>
      <c r="V47" s="12">
        <f>+Precios!R45*Precios!R$3</f>
        <v>0</v>
      </c>
      <c r="W47" s="12">
        <f>+Precios!S45*Precios!S$3</f>
        <v>0</v>
      </c>
      <c r="X47" s="12">
        <f>+Precios!T45*Precios!T$3</f>
        <v>0</v>
      </c>
      <c r="Y47" s="12">
        <f>+Precios!U45*Precios!U$3</f>
        <v>0</v>
      </c>
      <c r="Z47" s="12">
        <f>+Precios!V45*Precios!V$3</f>
        <v>0</v>
      </c>
      <c r="AA47" s="12">
        <f>+Precios!W45*Precios!W$3</f>
        <v>0</v>
      </c>
      <c r="AB47" s="12">
        <f>+Precios!X45*Precios!X$3</f>
        <v>0</v>
      </c>
      <c r="AC47" s="12">
        <f>+Precios!Y45*Precios!Y$3</f>
        <v>0</v>
      </c>
      <c r="AD47" s="12">
        <f>+Precios!Z45*Precios!Z$3</f>
        <v>0</v>
      </c>
      <c r="AE47" s="12">
        <f>+Precios!AA45*Precios!AA$3</f>
        <v>0</v>
      </c>
      <c r="AF47" s="12">
        <f>+Precios!AB45*Precios!AB$3</f>
        <v>0</v>
      </c>
      <c r="AG47" s="12">
        <f>+Precios!AC45*Precios!AC$3</f>
        <v>0</v>
      </c>
      <c r="AH47" s="12">
        <f>+Precios!AD45*Precios!AD$3</f>
        <v>0</v>
      </c>
      <c r="AI47" s="12">
        <f>+Precios!AE45*Precios!AE$3</f>
        <v>0</v>
      </c>
      <c r="AJ47" s="12">
        <f>+Precios!AF45*Precios!AF$3</f>
        <v>0</v>
      </c>
      <c r="AK47" s="12">
        <f>+Precios!AG45*Precios!AG$3</f>
        <v>0</v>
      </c>
      <c r="AL47" s="12">
        <f>+Precios!AH45*Precios!AH$3</f>
        <v>0</v>
      </c>
      <c r="AM47" s="12">
        <f>+Precios!AI45*Precios!AI$3</f>
        <v>0</v>
      </c>
      <c r="AN47" s="12">
        <f>+Precios!AJ45*Precios!AJ$3</f>
        <v>0</v>
      </c>
      <c r="AO47" s="12">
        <f>+Precios!AK45*Precios!AK$3</f>
        <v>0</v>
      </c>
      <c r="AP47" s="12">
        <f>+Precios!AL45*Precios!AL$3</f>
        <v>0</v>
      </c>
      <c r="AQ47" s="12">
        <f>+Precios!AM45*Precios!AM$3</f>
        <v>0</v>
      </c>
      <c r="AR47" s="12">
        <f>+Precios!AN45*Precios!AN$3</f>
        <v>0</v>
      </c>
      <c r="AS47" s="12">
        <f>+Precios!AO45*Precios!AO$3</f>
        <v>0</v>
      </c>
      <c r="AT47" s="12">
        <f>+Precios!AP45*Precios!AP$3</f>
        <v>0</v>
      </c>
      <c r="AU47" s="12">
        <f>+Precios!AQ45*Precios!AQ$3</f>
        <v>0</v>
      </c>
      <c r="AV47" s="12">
        <f>+Precios!AR45*Precios!AR$3</f>
        <v>0</v>
      </c>
      <c r="AW47" s="12">
        <f>+Precios!AS45*Precios!AS$3</f>
        <v>0</v>
      </c>
      <c r="AX47" s="12">
        <f>+Precios!AT45*Precios!AT$3</f>
        <v>0</v>
      </c>
      <c r="AY47" s="12">
        <f>+Precios!AU45*$AY$3</f>
        <v>0</v>
      </c>
      <c r="AZ47" s="12">
        <f>+Precios!AV45*Precios!AV$3</f>
        <v>0</v>
      </c>
      <c r="BA47" s="12">
        <f>+Precios!AW45*Precios!AW$3</f>
        <v>0</v>
      </c>
      <c r="BB47" s="12">
        <f>+Precios!AX45*Precios!AX$3</f>
        <v>0</v>
      </c>
      <c r="BC47" s="12">
        <f>+Precios!AY45*Precios!AY$3</f>
        <v>0</v>
      </c>
      <c r="BD47" s="12">
        <f>+Precios!AZ45*Precios!AZ$3</f>
        <v>0</v>
      </c>
      <c r="BE47" s="12">
        <f>+Precios!BA45*Precios!BA$3</f>
        <v>0</v>
      </c>
      <c r="BF47" s="12">
        <f>+Precios!BB45*Precios!BB$3</f>
        <v>0</v>
      </c>
      <c r="BG47" s="12">
        <f>+Precios!BC45*Precios!BC$3</f>
        <v>0</v>
      </c>
      <c r="BH47" s="12">
        <f>+Precios!BD45*$BH$3</f>
        <v>0</v>
      </c>
      <c r="BI47" s="12">
        <f>+Precios!BE45*Precios!BE$3</f>
        <v>0</v>
      </c>
      <c r="BJ47" s="12">
        <f>+Precios!BF45*Precios!BF$3</f>
        <v>0</v>
      </c>
      <c r="BK47" s="12">
        <f>+Precios!BG45*Precios!BG$3</f>
        <v>0</v>
      </c>
      <c r="BL47" s="12">
        <f>+Precios!BH45*Precios!BH$3</f>
        <v>0</v>
      </c>
      <c r="BM47" s="12">
        <f>+Precios!BI45*Precios!BI$3</f>
        <v>0</v>
      </c>
      <c r="BN47" s="12">
        <f>+Precios!BJ45*$BN$3</f>
        <v>0</v>
      </c>
      <c r="BO47" s="12">
        <f>+Precios!BK45*$BO$3</f>
        <v>0</v>
      </c>
      <c r="BP47" s="12">
        <f>+Precios!BL45*Precios!BL$3</f>
        <v>0</v>
      </c>
    </row>
    <row r="48" spans="1:68" ht="15" thickBot="1">
      <c r="A48" s="5">
        <f>+SUM(F48:XFD48)</f>
        <v>0</v>
      </c>
      <c r="B48" s="26"/>
      <c r="C48" s="5">
        <f t="shared" si="0"/>
        <v>19832.189999999988</v>
      </c>
      <c r="D48" s="5">
        <f>1000000+C48-Cost!A48</f>
        <v>1019832.19</v>
      </c>
      <c r="E48" s="15">
        <f>+Precios!A46</f>
        <v>46036</v>
      </c>
      <c r="F48" s="12">
        <f>+Precios!B46*Precios!B$3</f>
        <v>0</v>
      </c>
      <c r="G48" s="12">
        <f>+Precios!C46*Precios!C$3</f>
        <v>0</v>
      </c>
      <c r="H48" s="12">
        <f>+Precios!D46*Precios!D$3</f>
        <v>0</v>
      </c>
      <c r="I48" s="12">
        <f>+Precios!E46*Precios!E$3</f>
        <v>0</v>
      </c>
      <c r="J48" s="12">
        <f>+Precios!F46*Precios!F$3</f>
        <v>0</v>
      </c>
      <c r="K48" s="12">
        <f>+Precios!G46*Precios!G$3</f>
        <v>0</v>
      </c>
      <c r="L48" s="12">
        <f>+Precios!H46*Precios!H$3</f>
        <v>0</v>
      </c>
      <c r="M48" s="12">
        <f>+Precios!I46*Precios!I$3</f>
        <v>0</v>
      </c>
      <c r="N48" s="12">
        <f>+Precios!J46*Precios!J$3</f>
        <v>0</v>
      </c>
      <c r="O48" s="12">
        <f>+Precios!K46*Precios!K$3</f>
        <v>0</v>
      </c>
      <c r="P48" s="12">
        <f>+Precios!L46*Precios!L$3</f>
        <v>0</v>
      </c>
      <c r="Q48" s="12">
        <f>+Precios!M46*Precios!M$3</f>
        <v>0</v>
      </c>
      <c r="R48" s="12">
        <f>+Precios!N46*Precios!N$3</f>
        <v>0</v>
      </c>
      <c r="S48" s="12">
        <f>+Precios!O46*Precios!O$3</f>
        <v>0</v>
      </c>
      <c r="T48" s="12">
        <f>+Precios!P46*Precios!P$3</f>
        <v>0</v>
      </c>
      <c r="U48" s="12">
        <f>+Precios!Q46*Precios!Q$3</f>
        <v>0</v>
      </c>
      <c r="V48" s="12">
        <f>+Precios!R46*Precios!R$3</f>
        <v>0</v>
      </c>
      <c r="W48" s="12">
        <f>+Precios!S46*Precios!S$3</f>
        <v>0</v>
      </c>
      <c r="X48" s="12">
        <f>+Precios!T46*Precios!T$3</f>
        <v>0</v>
      </c>
      <c r="Y48" s="12">
        <f>+Precios!U46*Precios!U$3</f>
        <v>0</v>
      </c>
      <c r="Z48" s="12">
        <f>+Precios!V46*Precios!V$3</f>
        <v>0</v>
      </c>
      <c r="AA48" s="12">
        <f>+Precios!W46*Precios!W$3</f>
        <v>0</v>
      </c>
      <c r="AB48" s="12">
        <f>+Precios!X46*Precios!X$3</f>
        <v>0</v>
      </c>
      <c r="AC48" s="12">
        <f>+Precios!Y46*Precios!Y$3</f>
        <v>0</v>
      </c>
      <c r="AD48" s="12">
        <f>+Precios!Z46*Precios!Z$3</f>
        <v>0</v>
      </c>
      <c r="AE48" s="12">
        <f>+Precios!AA46*Precios!AA$3</f>
        <v>0</v>
      </c>
      <c r="AF48" s="12">
        <f>+Precios!AB46*Precios!AB$3</f>
        <v>0</v>
      </c>
      <c r="AG48" s="12">
        <f>+Precios!AC46*Precios!AC$3</f>
        <v>0</v>
      </c>
      <c r="AH48" s="12">
        <f>+Precios!AD46*Precios!AD$3</f>
        <v>0</v>
      </c>
      <c r="AI48" s="12">
        <f>+Precios!AE46*Precios!AE$3</f>
        <v>0</v>
      </c>
      <c r="AJ48" s="12">
        <f>+Precios!AF46*Precios!AF$3</f>
        <v>0</v>
      </c>
      <c r="AK48" s="12">
        <f>+Precios!AG46*Precios!AG$3</f>
        <v>0</v>
      </c>
      <c r="AL48" s="12">
        <f>+Precios!AH46*Precios!AH$3</f>
        <v>0</v>
      </c>
      <c r="AM48" s="12">
        <f>+Precios!AI46*Precios!AI$3</f>
        <v>0</v>
      </c>
      <c r="AN48" s="12">
        <f>+Precios!AJ46*Precios!AJ$3</f>
        <v>0</v>
      </c>
      <c r="AO48" s="12">
        <f>+Precios!AK46*Precios!AK$3</f>
        <v>0</v>
      </c>
      <c r="AP48" s="12">
        <f>+Precios!AL46*Precios!AL$3</f>
        <v>0</v>
      </c>
      <c r="AQ48" s="12">
        <f>+Precios!AM46*Precios!AM$3</f>
        <v>0</v>
      </c>
      <c r="AR48" s="12">
        <f>+Precios!AN46*Precios!AN$3</f>
        <v>0</v>
      </c>
      <c r="AS48" s="12">
        <f>+Precios!AO46*Precios!AO$3</f>
        <v>0</v>
      </c>
      <c r="AT48" s="12">
        <f>+Precios!AP46*Precios!AP$3</f>
        <v>0</v>
      </c>
      <c r="AU48" s="12">
        <f>+Precios!AQ46*Precios!AQ$3</f>
        <v>0</v>
      </c>
      <c r="AV48" s="12">
        <f>+Precios!AR46*Precios!AR$3</f>
        <v>0</v>
      </c>
      <c r="AW48" s="12">
        <f>+Precios!AS46*Precios!AS$3</f>
        <v>0</v>
      </c>
      <c r="AX48" s="12">
        <f>+Precios!AT46*Precios!AT$3</f>
        <v>0</v>
      </c>
      <c r="AY48" s="12">
        <f>+Precios!AU46*$AY$3</f>
        <v>0</v>
      </c>
      <c r="AZ48" s="12">
        <f>+Precios!AV46*Precios!AV$3</f>
        <v>0</v>
      </c>
      <c r="BA48" s="12">
        <f>+Precios!AW46*Precios!AW$3</f>
        <v>0</v>
      </c>
      <c r="BB48" s="12">
        <f>+Precios!AX46*Precios!AX$3</f>
        <v>0</v>
      </c>
      <c r="BC48" s="12">
        <f>+Precios!AY46*Precios!AY$3</f>
        <v>0</v>
      </c>
      <c r="BD48" s="12">
        <f>+Precios!AZ46*Precios!AZ$3</f>
        <v>0</v>
      </c>
      <c r="BE48" s="12">
        <f>+Precios!BA46*Precios!BA$3</f>
        <v>0</v>
      </c>
      <c r="BF48" s="12">
        <f>+Precios!BB46*Precios!BB$3</f>
        <v>0</v>
      </c>
      <c r="BG48" s="12">
        <f>+Precios!BC46*Precios!BC$3</f>
        <v>0</v>
      </c>
      <c r="BH48" s="12">
        <f>+Precios!BD46*$BH$3</f>
        <v>0</v>
      </c>
      <c r="BI48" s="12">
        <f>+Precios!BE46*Precios!BE$3</f>
        <v>0</v>
      </c>
      <c r="BJ48" s="12">
        <f>+Precios!BF46*Precios!BF$3</f>
        <v>0</v>
      </c>
      <c r="BK48" s="12">
        <f>+Precios!BG46*Precios!BG$3</f>
        <v>0</v>
      </c>
      <c r="BL48" s="12">
        <f>+Precios!BH46*Precios!BH$3</f>
        <v>0</v>
      </c>
      <c r="BM48" s="12">
        <f>+Precios!BI46*Precios!BI$3</f>
        <v>0</v>
      </c>
      <c r="BN48" s="12">
        <f>+Precios!BJ46*$BN$3</f>
        <v>0</v>
      </c>
      <c r="BO48" s="12">
        <f>+Precios!BK46*$BO$3</f>
        <v>0</v>
      </c>
      <c r="BP48" s="12">
        <f>+Precios!BL46*Precios!BL$3</f>
        <v>0</v>
      </c>
    </row>
    <row r="49" spans="1:68" ht="15" thickBot="1">
      <c r="A49" s="5">
        <f>+SUM(F49:XFD49)</f>
        <v>0</v>
      </c>
      <c r="B49" s="26"/>
      <c r="C49" s="5">
        <f t="shared" si="0"/>
        <v>19832.189999999988</v>
      </c>
      <c r="D49" s="5">
        <f>1000000+C49-Cost!A49</f>
        <v>1019832.19</v>
      </c>
      <c r="E49" s="15">
        <f>+Precios!A47</f>
        <v>46037</v>
      </c>
      <c r="F49" s="12">
        <f>+Precios!B47*Precios!B$3</f>
        <v>0</v>
      </c>
      <c r="G49" s="12">
        <f>+Precios!C47*Precios!C$3</f>
        <v>0</v>
      </c>
      <c r="H49" s="12">
        <f>+Precios!D47*Precios!D$3</f>
        <v>0</v>
      </c>
      <c r="I49" s="12">
        <f>+Precios!E47*Precios!E$3</f>
        <v>0</v>
      </c>
      <c r="J49" s="12">
        <f>+Precios!F47*Precios!F$3</f>
        <v>0</v>
      </c>
      <c r="K49" s="12">
        <f>+Precios!G47*Precios!G$3</f>
        <v>0</v>
      </c>
      <c r="L49" s="12">
        <f>+Precios!H47*Precios!H$3</f>
        <v>0</v>
      </c>
      <c r="M49" s="12">
        <f>+Precios!I47*Precios!I$3</f>
        <v>0</v>
      </c>
      <c r="N49" s="12">
        <f>+Precios!J47*Precios!J$3</f>
        <v>0</v>
      </c>
      <c r="O49" s="12">
        <f>+Precios!K47*Precios!K$3</f>
        <v>0</v>
      </c>
      <c r="P49" s="12">
        <f>+Precios!L47*Precios!L$3</f>
        <v>0</v>
      </c>
      <c r="Q49" s="12">
        <f>+Precios!M47*Precios!M$3</f>
        <v>0</v>
      </c>
      <c r="R49" s="12">
        <f>+Precios!N47*Precios!N$3</f>
        <v>0</v>
      </c>
      <c r="S49" s="12">
        <f>+Precios!O47*Precios!O$3</f>
        <v>0</v>
      </c>
      <c r="T49" s="12">
        <f>+Precios!P47*Precios!P$3</f>
        <v>0</v>
      </c>
      <c r="U49" s="12">
        <f>+Precios!Q47*Precios!Q$3</f>
        <v>0</v>
      </c>
      <c r="V49" s="12">
        <f>+Precios!R47*Precios!R$3</f>
        <v>0</v>
      </c>
      <c r="W49" s="12">
        <f>+Precios!S47*Precios!S$3</f>
        <v>0</v>
      </c>
      <c r="X49" s="12">
        <f>+Precios!T47*Precios!T$3</f>
        <v>0</v>
      </c>
      <c r="Y49" s="12">
        <f>+Precios!U47*Precios!U$3</f>
        <v>0</v>
      </c>
      <c r="Z49" s="12">
        <f>+Precios!V47*Precios!V$3</f>
        <v>0</v>
      </c>
      <c r="AA49" s="12">
        <f>+Precios!W47*Precios!W$3</f>
        <v>0</v>
      </c>
      <c r="AB49" s="12">
        <f>+Precios!X47*Precios!X$3</f>
        <v>0</v>
      </c>
      <c r="AC49" s="12">
        <f>+Precios!Y47*Precios!Y$3</f>
        <v>0</v>
      </c>
      <c r="AD49" s="12">
        <f>+Precios!Z47*Precios!Z$3</f>
        <v>0</v>
      </c>
      <c r="AE49" s="12">
        <f>+Precios!AA47*Precios!AA$3</f>
        <v>0</v>
      </c>
      <c r="AF49" s="12">
        <f>+Precios!AB47*Precios!AB$3</f>
        <v>0</v>
      </c>
      <c r="AG49" s="12">
        <f>+Precios!AC47*Precios!AC$3</f>
        <v>0</v>
      </c>
      <c r="AH49" s="12">
        <f>+Precios!AD47*Precios!AD$3</f>
        <v>0</v>
      </c>
      <c r="AI49" s="12">
        <f>+Precios!AE47*Precios!AE$3</f>
        <v>0</v>
      </c>
      <c r="AJ49" s="12">
        <f>+Precios!AF47*Precios!AF$3</f>
        <v>0</v>
      </c>
      <c r="AK49" s="12">
        <f>+Precios!AG47*Precios!AG$3</f>
        <v>0</v>
      </c>
      <c r="AL49" s="12">
        <f>+Precios!AH47*Precios!AH$3</f>
        <v>0</v>
      </c>
      <c r="AM49" s="12">
        <f>+Precios!AI47*Precios!AI$3</f>
        <v>0</v>
      </c>
      <c r="AN49" s="12">
        <f>+Precios!AJ47*Precios!AJ$3</f>
        <v>0</v>
      </c>
      <c r="AO49" s="12">
        <f>+Precios!AK47*Precios!AK$3</f>
        <v>0</v>
      </c>
      <c r="AP49" s="12">
        <f>+Precios!AL47*Precios!AL$3</f>
        <v>0</v>
      </c>
      <c r="AQ49" s="12">
        <f>+Precios!AM47*Precios!AM$3</f>
        <v>0</v>
      </c>
      <c r="AR49" s="12">
        <f>+Precios!AN47*Precios!AN$3</f>
        <v>0</v>
      </c>
      <c r="AS49" s="12">
        <f>+Precios!AO47*Precios!AO$3</f>
        <v>0</v>
      </c>
      <c r="AT49" s="12">
        <f>+Precios!AP47*Precios!AP$3</f>
        <v>0</v>
      </c>
      <c r="AU49" s="12">
        <f>+Precios!AQ47*Precios!AQ$3</f>
        <v>0</v>
      </c>
      <c r="AV49" s="12">
        <f>+Precios!AR47*Precios!AR$3</f>
        <v>0</v>
      </c>
      <c r="AW49" s="12">
        <f>+Precios!AS47*Precios!AS$3</f>
        <v>0</v>
      </c>
      <c r="AX49" s="12">
        <f>+Precios!AT47*Precios!AT$3</f>
        <v>0</v>
      </c>
      <c r="AY49" s="12">
        <f>+Precios!AU47*$AY$3</f>
        <v>0</v>
      </c>
      <c r="AZ49" s="12">
        <f>+Precios!AV47*Precios!AV$3</f>
        <v>0</v>
      </c>
      <c r="BA49" s="12">
        <f>+Precios!AW47*Precios!AW$3</f>
        <v>0</v>
      </c>
      <c r="BB49" s="12">
        <f>+Precios!AX47*Precios!AX$3</f>
        <v>0</v>
      </c>
      <c r="BC49" s="12">
        <f>+Precios!AY47*Precios!AY$3</f>
        <v>0</v>
      </c>
      <c r="BD49" s="12">
        <f>+Precios!AZ47*Precios!AZ$3</f>
        <v>0</v>
      </c>
      <c r="BE49" s="12">
        <f>+Precios!BA47*Precios!BA$3</f>
        <v>0</v>
      </c>
      <c r="BF49" s="12">
        <f>+Precios!BB47*Precios!BB$3</f>
        <v>0</v>
      </c>
      <c r="BG49" s="12">
        <f>+Precios!BC47*Precios!BC$3</f>
        <v>0</v>
      </c>
      <c r="BH49" s="12">
        <f>+Precios!BD47*$BH$3</f>
        <v>0</v>
      </c>
      <c r="BI49" s="12">
        <f>+Precios!BE47*Precios!BE$3</f>
        <v>0</v>
      </c>
      <c r="BJ49" s="12">
        <f>+Precios!BF47*Precios!BF$3</f>
        <v>0</v>
      </c>
      <c r="BK49" s="12">
        <f>+Precios!BG47*Precios!BG$3</f>
        <v>0</v>
      </c>
      <c r="BL49" s="12">
        <f>+Precios!BH47*Precios!BH$3</f>
        <v>0</v>
      </c>
      <c r="BM49" s="12">
        <f>+Precios!BI47*Precios!BI$3</f>
        <v>0</v>
      </c>
      <c r="BN49" s="12">
        <f>+Precios!BJ47*$BN$3</f>
        <v>0</v>
      </c>
      <c r="BO49" s="12">
        <f>+Precios!BK47*$BO$3</f>
        <v>0</v>
      </c>
      <c r="BP49" s="12">
        <f>+Precios!BL47*Precios!BL$3</f>
        <v>0</v>
      </c>
    </row>
    <row r="50" spans="1:68" ht="15" thickBot="1">
      <c r="A50" s="5">
        <f>+SUM(F50:XFD50)</f>
        <v>0</v>
      </c>
      <c r="B50" s="26"/>
      <c r="C50" s="5">
        <f t="shared" si="0"/>
        <v>19832.189999999988</v>
      </c>
      <c r="D50" s="5">
        <f>1000000+C50-Cost!A50</f>
        <v>1019832.19</v>
      </c>
      <c r="E50" s="15">
        <f>+Precios!A48</f>
        <v>46038</v>
      </c>
      <c r="F50" s="12">
        <f>+Precios!B48*Precios!B$3</f>
        <v>0</v>
      </c>
      <c r="G50" s="12">
        <f>+Precios!C48*Precios!C$3</f>
        <v>0</v>
      </c>
      <c r="H50" s="12">
        <f>+Precios!D48*Precios!D$3</f>
        <v>0</v>
      </c>
      <c r="I50" s="12">
        <f>+Precios!E48*Precios!E$3</f>
        <v>0</v>
      </c>
      <c r="J50" s="12">
        <f>+Precios!F48*Precios!F$3</f>
        <v>0</v>
      </c>
      <c r="K50" s="12">
        <f>+Precios!G48*Precios!G$3</f>
        <v>0</v>
      </c>
      <c r="L50" s="12">
        <f>+Precios!H48*Precios!H$3</f>
        <v>0</v>
      </c>
      <c r="M50" s="12">
        <f>+Precios!I48*Precios!I$3</f>
        <v>0</v>
      </c>
      <c r="N50" s="12">
        <f>+Precios!J48*Precios!J$3</f>
        <v>0</v>
      </c>
      <c r="O50" s="12">
        <f>+Precios!K48*Precios!K$3</f>
        <v>0</v>
      </c>
      <c r="P50" s="12">
        <f>+Precios!L48*Precios!L$3</f>
        <v>0</v>
      </c>
      <c r="Q50" s="12">
        <f>+Precios!M48*Precios!M$3</f>
        <v>0</v>
      </c>
      <c r="R50" s="12">
        <f>+Precios!N48*Precios!N$3</f>
        <v>0</v>
      </c>
      <c r="S50" s="12">
        <f>+Precios!O48*Precios!O$3</f>
        <v>0</v>
      </c>
      <c r="T50" s="12">
        <f>+Precios!P48*Precios!P$3</f>
        <v>0</v>
      </c>
      <c r="U50" s="12">
        <f>+Precios!Q48*Precios!Q$3</f>
        <v>0</v>
      </c>
      <c r="V50" s="12">
        <f>+Precios!R48*Precios!R$3</f>
        <v>0</v>
      </c>
      <c r="W50" s="12">
        <f>+Precios!S48*Precios!S$3</f>
        <v>0</v>
      </c>
      <c r="X50" s="12">
        <f>+Precios!T48*Precios!T$3</f>
        <v>0</v>
      </c>
      <c r="Y50" s="12">
        <f>+Precios!U48*Precios!U$3</f>
        <v>0</v>
      </c>
      <c r="Z50" s="12">
        <f>+Precios!V48*Precios!V$3</f>
        <v>0</v>
      </c>
      <c r="AA50" s="12">
        <f>+Precios!W48*Precios!W$3</f>
        <v>0</v>
      </c>
      <c r="AB50" s="12">
        <f>+Precios!X48*Precios!X$3</f>
        <v>0</v>
      </c>
      <c r="AC50" s="12">
        <f>+Precios!Y48*Precios!Y$3</f>
        <v>0</v>
      </c>
      <c r="AD50" s="12">
        <f>+Precios!Z48*Precios!Z$3</f>
        <v>0</v>
      </c>
      <c r="AE50" s="12">
        <f>+Precios!AA48*Precios!AA$3</f>
        <v>0</v>
      </c>
      <c r="AF50" s="12">
        <f>+Precios!AB48*Precios!AB$3</f>
        <v>0</v>
      </c>
      <c r="AG50" s="12">
        <f>+Precios!AC48*Precios!AC$3</f>
        <v>0</v>
      </c>
      <c r="AH50" s="12">
        <f>+Precios!AD48*Precios!AD$3</f>
        <v>0</v>
      </c>
      <c r="AI50" s="12">
        <f>+Precios!AE48*Precios!AE$3</f>
        <v>0</v>
      </c>
      <c r="AJ50" s="12">
        <f>+Precios!AF48*Precios!AF$3</f>
        <v>0</v>
      </c>
      <c r="AK50" s="12">
        <f>+Precios!AG48*Precios!AG$3</f>
        <v>0</v>
      </c>
      <c r="AL50" s="12">
        <f>+Precios!AH48*Precios!AH$3</f>
        <v>0</v>
      </c>
      <c r="AM50" s="12">
        <f>+Precios!AI48*Precios!AI$3</f>
        <v>0</v>
      </c>
      <c r="AN50" s="12">
        <f>+Precios!AJ48*Precios!AJ$3</f>
        <v>0</v>
      </c>
      <c r="AO50" s="12">
        <f>+Precios!AK48*Precios!AK$3</f>
        <v>0</v>
      </c>
      <c r="AP50" s="12">
        <f>+Precios!AL48*Precios!AL$3</f>
        <v>0</v>
      </c>
      <c r="AQ50" s="12">
        <f>+Precios!AM48*Precios!AM$3</f>
        <v>0</v>
      </c>
      <c r="AR50" s="12">
        <f>+Precios!AN48*Precios!AN$3</f>
        <v>0</v>
      </c>
      <c r="AS50" s="12">
        <f>+Precios!AO48*Precios!AO$3</f>
        <v>0</v>
      </c>
      <c r="AT50" s="12">
        <f>+Precios!AP48*Precios!AP$3</f>
        <v>0</v>
      </c>
      <c r="AU50" s="12">
        <f>+Precios!AQ48*Precios!AQ$3</f>
        <v>0</v>
      </c>
      <c r="AV50" s="12">
        <f>+Precios!AR48*Precios!AR$3</f>
        <v>0</v>
      </c>
      <c r="AW50" s="12">
        <f>+Precios!AS48*Precios!AS$3</f>
        <v>0</v>
      </c>
      <c r="AX50" s="12">
        <f>+Precios!AT48*Precios!AT$3</f>
        <v>0</v>
      </c>
      <c r="AY50" s="12">
        <f>+Precios!AU48*$AY$3</f>
        <v>0</v>
      </c>
      <c r="AZ50" s="12">
        <f>+Precios!AV48*Precios!AV$3</f>
        <v>0</v>
      </c>
      <c r="BA50" s="12">
        <f>+Precios!AW48*Precios!AW$3</f>
        <v>0</v>
      </c>
      <c r="BB50" s="12">
        <f>+Precios!AX48*Precios!AX$3</f>
        <v>0</v>
      </c>
      <c r="BC50" s="12">
        <f>+Precios!AY48*Precios!AY$3</f>
        <v>0</v>
      </c>
      <c r="BD50" s="12">
        <f>+Precios!AZ48*Precios!AZ$3</f>
        <v>0</v>
      </c>
      <c r="BE50" s="12">
        <f>+Precios!BA48*Precios!BA$3</f>
        <v>0</v>
      </c>
      <c r="BF50" s="12">
        <f>+Precios!BB48*Precios!BB$3</f>
        <v>0</v>
      </c>
      <c r="BG50" s="12">
        <f>+Precios!BC48*Precios!BC$3</f>
        <v>0</v>
      </c>
      <c r="BH50" s="12">
        <f>+Precios!BD48*$BH$3</f>
        <v>0</v>
      </c>
      <c r="BI50" s="12">
        <f>+Precios!BE48*Precios!BE$3</f>
        <v>0</v>
      </c>
      <c r="BJ50" s="12">
        <f>+Precios!BF48*Precios!BF$3</f>
        <v>0</v>
      </c>
      <c r="BK50" s="12">
        <f>+Precios!BG48*Precios!BG$3</f>
        <v>0</v>
      </c>
      <c r="BL50" s="12">
        <f>+Precios!BH48*Precios!BH$3</f>
        <v>0</v>
      </c>
      <c r="BM50" s="12">
        <f>+Precios!BI48*Precios!BI$3</f>
        <v>0</v>
      </c>
      <c r="BN50" s="12">
        <f>+Precios!BJ48*$BN$3</f>
        <v>0</v>
      </c>
      <c r="BO50" s="12">
        <f>+Precios!BK48*$BO$3</f>
        <v>0</v>
      </c>
      <c r="BP50" s="12">
        <f>+Precios!BL48*Precios!BL$3</f>
        <v>0</v>
      </c>
    </row>
    <row r="51" spans="1:68" ht="15" thickBot="1">
      <c r="A51" s="5">
        <f>+SUM(F51:XFD51)</f>
        <v>0</v>
      </c>
      <c r="B51" s="26"/>
      <c r="C51" s="5">
        <f t="shared" si="0"/>
        <v>19832.189999999988</v>
      </c>
      <c r="D51" s="5">
        <f>1000000+C51-Cost!A51</f>
        <v>1019832.19</v>
      </c>
      <c r="E51" s="15">
        <f>+Precios!A49</f>
        <v>46041</v>
      </c>
      <c r="F51" s="12">
        <f>+Precios!B49*Precios!B$3</f>
        <v>0</v>
      </c>
      <c r="G51" s="12">
        <f>+Precios!C49*Precios!C$3</f>
        <v>0</v>
      </c>
      <c r="H51" s="12">
        <f>+Precios!D49*Precios!D$3</f>
        <v>0</v>
      </c>
      <c r="I51" s="12">
        <f>+Precios!E49*Precios!E$3</f>
        <v>0</v>
      </c>
      <c r="J51" s="12">
        <f>+Precios!F49*Precios!F$3</f>
        <v>0</v>
      </c>
      <c r="K51" s="12">
        <f>+Precios!G49*Precios!G$3</f>
        <v>0</v>
      </c>
      <c r="L51" s="12">
        <f>+Precios!H49*Precios!H$3</f>
        <v>0</v>
      </c>
      <c r="M51" s="12">
        <f>+Precios!I49*Precios!I$3</f>
        <v>0</v>
      </c>
      <c r="N51" s="12">
        <f>+Precios!J49*Precios!J$3</f>
        <v>0</v>
      </c>
      <c r="O51" s="12">
        <f>+Precios!K49*Precios!K$3</f>
        <v>0</v>
      </c>
      <c r="P51" s="12">
        <f>+Precios!L49*Precios!L$3</f>
        <v>0</v>
      </c>
      <c r="Q51" s="12">
        <f>+Precios!M49*Precios!M$3</f>
        <v>0</v>
      </c>
      <c r="R51" s="12">
        <f>+Precios!N49*Precios!N$3</f>
        <v>0</v>
      </c>
      <c r="S51" s="12">
        <f>+Precios!O49*Precios!O$3</f>
        <v>0</v>
      </c>
      <c r="T51" s="12">
        <f>+Precios!P49*Precios!P$3</f>
        <v>0</v>
      </c>
      <c r="U51" s="12">
        <f>+Precios!Q49*Precios!Q$3</f>
        <v>0</v>
      </c>
      <c r="V51" s="12">
        <f>+Precios!R49*Precios!R$3</f>
        <v>0</v>
      </c>
      <c r="W51" s="12">
        <f>+Precios!S49*Precios!S$3</f>
        <v>0</v>
      </c>
      <c r="X51" s="12">
        <f>+Precios!T49*Precios!T$3</f>
        <v>0</v>
      </c>
      <c r="Y51" s="12">
        <f>+Precios!U49*Precios!U$3</f>
        <v>0</v>
      </c>
      <c r="Z51" s="12">
        <f>+Precios!V49*Precios!V$3</f>
        <v>0</v>
      </c>
      <c r="AA51" s="12">
        <f>+Precios!W49*Precios!W$3</f>
        <v>0</v>
      </c>
      <c r="AB51" s="12">
        <f>+Precios!X49*Precios!X$3</f>
        <v>0</v>
      </c>
      <c r="AC51" s="12">
        <f>+Precios!Y49*Precios!Y$3</f>
        <v>0</v>
      </c>
      <c r="AD51" s="12">
        <f>+Precios!Z49*Precios!Z$3</f>
        <v>0</v>
      </c>
      <c r="AE51" s="12">
        <f>+Precios!AA49*Precios!AA$3</f>
        <v>0</v>
      </c>
      <c r="AF51" s="12">
        <f>+Precios!AB49*Precios!AB$3</f>
        <v>0</v>
      </c>
      <c r="AG51" s="12">
        <f>+Precios!AC49*Precios!AC$3</f>
        <v>0</v>
      </c>
      <c r="AH51" s="12">
        <f>+Precios!AD49*Precios!AD$3</f>
        <v>0</v>
      </c>
      <c r="AI51" s="12">
        <f>+Precios!AE49*Precios!AE$3</f>
        <v>0</v>
      </c>
      <c r="AJ51" s="12">
        <f>+Precios!AF49*Precios!AF$3</f>
        <v>0</v>
      </c>
      <c r="AK51" s="12">
        <f>+Precios!AG49*Precios!AG$3</f>
        <v>0</v>
      </c>
      <c r="AL51" s="12">
        <f>+Precios!AH49*Precios!AH$3</f>
        <v>0</v>
      </c>
      <c r="AM51" s="12">
        <f>+Precios!AI49*Precios!AI$3</f>
        <v>0</v>
      </c>
      <c r="AN51" s="12">
        <f>+Precios!AJ49*Precios!AJ$3</f>
        <v>0</v>
      </c>
      <c r="AO51" s="12">
        <f>+Precios!AK49*Precios!AK$3</f>
        <v>0</v>
      </c>
      <c r="AP51" s="12">
        <f>+Precios!AL49*Precios!AL$3</f>
        <v>0</v>
      </c>
      <c r="AQ51" s="12">
        <f>+Precios!AM49*Precios!AM$3</f>
        <v>0</v>
      </c>
      <c r="AR51" s="12">
        <f>+Precios!AN49*Precios!AN$3</f>
        <v>0</v>
      </c>
      <c r="AS51" s="12">
        <f>+Precios!AO49*Precios!AO$3</f>
        <v>0</v>
      </c>
      <c r="AT51" s="12">
        <f>+Precios!AP49*Precios!AP$3</f>
        <v>0</v>
      </c>
      <c r="AU51" s="12">
        <f>+Precios!AQ49*Precios!AQ$3</f>
        <v>0</v>
      </c>
      <c r="AV51" s="12">
        <f>+Precios!AR49*Precios!AR$3</f>
        <v>0</v>
      </c>
      <c r="AW51" s="12">
        <f>+Precios!AS49*Precios!AS$3</f>
        <v>0</v>
      </c>
      <c r="AX51" s="12">
        <f>+Precios!AT49*Precios!AT$3</f>
        <v>0</v>
      </c>
      <c r="AY51" s="12">
        <f>+Precios!AU49*$AY$3</f>
        <v>0</v>
      </c>
      <c r="AZ51" s="12">
        <f>+Precios!AV49*Precios!AV$3</f>
        <v>0</v>
      </c>
      <c r="BA51" s="12">
        <f>+Precios!AW49*Precios!AW$3</f>
        <v>0</v>
      </c>
      <c r="BB51" s="12">
        <f>+Precios!AX49*Precios!AX$3</f>
        <v>0</v>
      </c>
      <c r="BC51" s="12">
        <f>+Precios!AY49*Precios!AY$3</f>
        <v>0</v>
      </c>
      <c r="BD51" s="12">
        <f>+Precios!AZ49*Precios!AZ$3</f>
        <v>0</v>
      </c>
      <c r="BE51" s="12">
        <f>+Precios!BA49*Precios!BA$3</f>
        <v>0</v>
      </c>
      <c r="BF51" s="12">
        <f>+Precios!BB49*Precios!BB$3</f>
        <v>0</v>
      </c>
      <c r="BG51" s="12">
        <f>+Precios!BC49*Precios!BC$3</f>
        <v>0</v>
      </c>
      <c r="BH51" s="12">
        <f>+Precios!BD49*$BH$3</f>
        <v>0</v>
      </c>
      <c r="BI51" s="12">
        <f>+Precios!BE49*Precios!BE$3</f>
        <v>0</v>
      </c>
      <c r="BJ51" s="12">
        <f>+Precios!BF49*Precios!BF$3</f>
        <v>0</v>
      </c>
      <c r="BK51" s="12">
        <f>+Precios!BG49*Precios!BG$3</f>
        <v>0</v>
      </c>
      <c r="BL51" s="12">
        <f>+Precios!BH49*Precios!BH$3</f>
        <v>0</v>
      </c>
      <c r="BM51" s="12">
        <f>+Precios!BI49*Precios!BI$3</f>
        <v>0</v>
      </c>
      <c r="BN51" s="12">
        <f>+Precios!BJ49*$BN$3</f>
        <v>0</v>
      </c>
      <c r="BO51" s="12">
        <f>+Precios!BK49*$BO$3</f>
        <v>0</v>
      </c>
      <c r="BP51" s="12">
        <f>+Precios!BL49*Precios!BL$3</f>
        <v>0</v>
      </c>
    </row>
    <row r="52" spans="1:68" ht="15" thickBot="1">
      <c r="A52" s="5">
        <f>+SUM(F52:XFD52)</f>
        <v>0</v>
      </c>
      <c r="B52" s="26">
        <f>+TRACK!M21</f>
        <v>-3897.8399999999961</v>
      </c>
      <c r="C52" s="5">
        <f t="shared" si="0"/>
        <v>15934.349999999991</v>
      </c>
      <c r="D52" s="5">
        <f>1000000+C52-Cost!A52</f>
        <v>1015934.35</v>
      </c>
      <c r="E52" s="15">
        <f>+Precios!A50</f>
        <v>46042</v>
      </c>
      <c r="F52" s="12">
        <f>+Precios!B50*Precios!B$3</f>
        <v>0</v>
      </c>
      <c r="G52" s="12">
        <f>+Precios!C50*Precios!C$3</f>
        <v>0</v>
      </c>
      <c r="H52" s="12">
        <f>+Precios!D50*Precios!D$3</f>
        <v>0</v>
      </c>
      <c r="I52" s="12">
        <f>+Precios!E50*Precios!E$3</f>
        <v>0</v>
      </c>
      <c r="J52" s="12">
        <f>+Precios!F50*Precios!F$3</f>
        <v>0</v>
      </c>
      <c r="K52" s="12">
        <f>+Precios!G50*Precios!G$3</f>
        <v>0</v>
      </c>
      <c r="L52" s="12">
        <f>+Precios!H50*Precios!H$3</f>
        <v>0</v>
      </c>
      <c r="M52" s="12">
        <f>+Precios!I50*Precios!I$3</f>
        <v>0</v>
      </c>
      <c r="N52" s="12">
        <f>+Precios!J50*Precios!J$3</f>
        <v>0</v>
      </c>
      <c r="O52" s="12">
        <f>+Precios!K50*Precios!K$3</f>
        <v>0</v>
      </c>
      <c r="P52" s="12">
        <f>+Precios!L50*Precios!L$3</f>
        <v>0</v>
      </c>
      <c r="Q52" s="12">
        <f>+Precios!M50*Precios!M$3</f>
        <v>0</v>
      </c>
      <c r="R52" s="12">
        <f>+Precios!N50*Precios!N$3</f>
        <v>0</v>
      </c>
      <c r="S52" s="12">
        <f>+Precios!O50*Precios!O$3</f>
        <v>0</v>
      </c>
      <c r="T52" s="12">
        <f>+Precios!P50*Precios!P$3</f>
        <v>0</v>
      </c>
      <c r="U52" s="12">
        <f>+Precios!Q50*Precios!Q$3</f>
        <v>0</v>
      </c>
      <c r="V52" s="12">
        <f>+Precios!R50*Precios!R$3</f>
        <v>0</v>
      </c>
      <c r="W52" s="12">
        <f>+Precios!S50*Precios!S$3</f>
        <v>0</v>
      </c>
      <c r="X52" s="12">
        <f>+Precios!T50*Precios!T$3</f>
        <v>0</v>
      </c>
      <c r="Y52" s="12">
        <f>+Precios!U50*Precios!U$3</f>
        <v>0</v>
      </c>
      <c r="Z52" s="12">
        <f>+Precios!V50*Precios!V$3</f>
        <v>0</v>
      </c>
      <c r="AA52" s="12">
        <f>+Precios!W50*Precios!W$3</f>
        <v>0</v>
      </c>
      <c r="AB52" s="12">
        <f>+Precios!X50*Precios!X$3</f>
        <v>0</v>
      </c>
      <c r="AC52" s="12">
        <f>+Precios!Y50*Precios!Y$3</f>
        <v>0</v>
      </c>
      <c r="AD52" s="12">
        <f>+Precios!Z50*Precios!Z$3</f>
        <v>0</v>
      </c>
      <c r="AE52" s="12">
        <f>+Precios!AA50*Precios!AA$3</f>
        <v>0</v>
      </c>
      <c r="AF52" s="12">
        <f>+Precios!AB50*Precios!AB$3</f>
        <v>0</v>
      </c>
      <c r="AG52" s="12">
        <f>+Precios!AC50*Precios!AC$3</f>
        <v>0</v>
      </c>
      <c r="AH52" s="12">
        <f>+Precios!AD50*Precios!AD$3</f>
        <v>0</v>
      </c>
      <c r="AI52" s="12">
        <f>+Precios!AE50*Precios!AE$3</f>
        <v>0</v>
      </c>
      <c r="AJ52" s="12">
        <f>+Precios!AF50*Precios!AF$3</f>
        <v>0</v>
      </c>
      <c r="AK52" s="12">
        <f>+Precios!AG50*Precios!AG$3</f>
        <v>0</v>
      </c>
      <c r="AL52" s="12">
        <f>+Precios!AH50*Precios!AH$3</f>
        <v>0</v>
      </c>
      <c r="AM52" s="12">
        <f>+Precios!AI50*Precios!AI$3</f>
        <v>0</v>
      </c>
      <c r="AN52" s="12">
        <f>+Precios!AJ50*Precios!AJ$3</f>
        <v>0</v>
      </c>
      <c r="AO52" s="12">
        <f>+Precios!AK50*Precios!AK$3</f>
        <v>0</v>
      </c>
      <c r="AP52" s="12">
        <f>+Precios!AL50*Precios!AL$3</f>
        <v>0</v>
      </c>
      <c r="AQ52" s="12">
        <f>+Precios!AM50*Precios!AM$3</f>
        <v>0</v>
      </c>
      <c r="AR52" s="12">
        <f>+Precios!AN50*Precios!AN$3</f>
        <v>0</v>
      </c>
      <c r="AS52" s="12">
        <f>+Precios!AO50*Precios!AO$3</f>
        <v>0</v>
      </c>
      <c r="AT52" s="12">
        <f>+Precios!AP50*Precios!AP$3</f>
        <v>0</v>
      </c>
      <c r="AU52" s="12">
        <f>+Precios!AQ50*Precios!AQ$3</f>
        <v>0</v>
      </c>
      <c r="AV52" s="12">
        <f>+Precios!AR50*Precios!AR$3</f>
        <v>0</v>
      </c>
      <c r="AW52" s="12">
        <f>+Precios!AS50*Precios!AS$3</f>
        <v>0</v>
      </c>
      <c r="AX52" s="12">
        <f>+Precios!AT50*Precios!AT$3</f>
        <v>0</v>
      </c>
      <c r="AY52" s="12">
        <f>+Precios!AU50*$AY$3</f>
        <v>0</v>
      </c>
      <c r="AZ52" s="12">
        <f>+Precios!AV50*Precios!AV$3</f>
        <v>0</v>
      </c>
      <c r="BA52" s="12">
        <f>+Precios!AW50*Precios!AW$3</f>
        <v>0</v>
      </c>
      <c r="BB52" s="12">
        <f>+Precios!AX50*Precios!AX$3</f>
        <v>0</v>
      </c>
      <c r="BC52" s="12">
        <f>+Precios!AY50*Precios!AY$3</f>
        <v>0</v>
      </c>
      <c r="BD52" s="12">
        <f>+Precios!AZ50*Precios!AZ$3</f>
        <v>0</v>
      </c>
      <c r="BE52" s="12">
        <f>+Precios!BA50*Precios!BA$3</f>
        <v>0</v>
      </c>
      <c r="BF52" s="12">
        <f>+Precios!BB50*Precios!BB$3</f>
        <v>0</v>
      </c>
      <c r="BG52" s="12">
        <f>+Precios!BC50*Precios!BC$3</f>
        <v>0</v>
      </c>
      <c r="BH52" s="12">
        <f>+Precios!BD50*$BH$3</f>
        <v>0</v>
      </c>
      <c r="BI52" s="12">
        <f>+Precios!BE50*Precios!BE$3</f>
        <v>0</v>
      </c>
      <c r="BJ52" s="12">
        <f>+Precios!BF50*Precios!BF$3</f>
        <v>0</v>
      </c>
      <c r="BK52" s="12">
        <f>+Precios!BG50*Precios!BG$3</f>
        <v>0</v>
      </c>
      <c r="BL52" s="12">
        <f>+Precios!BH50*Precios!BH$3</f>
        <v>0</v>
      </c>
      <c r="BM52" s="12">
        <f>+Precios!BI50*Precios!BI$3</f>
        <v>0</v>
      </c>
      <c r="BN52" s="12">
        <f>+Precios!BJ50*$BN$3</f>
        <v>0</v>
      </c>
      <c r="BO52" s="12">
        <f>+Precios!BK50*$BO$3</f>
        <v>0</v>
      </c>
      <c r="BP52" s="12">
        <f>+Precios!BL50*Precios!BL$3</f>
        <v>0</v>
      </c>
    </row>
    <row r="53" spans="1:68" ht="15" thickBot="1">
      <c r="A53" s="5">
        <f>+SUM(F53:XFD53)</f>
        <v>0</v>
      </c>
      <c r="B53" s="26">
        <f>+TRACK!M22</f>
        <v>19040</v>
      </c>
      <c r="C53" s="5">
        <f t="shared" si="0"/>
        <v>34974.349999999991</v>
      </c>
      <c r="D53" s="5">
        <f>1000000+C53-Cost!A53</f>
        <v>1034974.35</v>
      </c>
      <c r="E53" s="15">
        <f>+Precios!A51</f>
        <v>46043</v>
      </c>
      <c r="F53" s="12">
        <f>+Precios!B51*Precios!B$3</f>
        <v>0</v>
      </c>
      <c r="G53" s="12">
        <f>+Precios!C51*Precios!C$3</f>
        <v>0</v>
      </c>
      <c r="H53" s="12">
        <f>+Precios!D51*Precios!D$3</f>
        <v>0</v>
      </c>
      <c r="I53" s="12">
        <f>+Precios!E51*Precios!E$3</f>
        <v>0</v>
      </c>
      <c r="J53" s="12">
        <f>+Precios!F51*Precios!F$3</f>
        <v>0</v>
      </c>
      <c r="K53" s="12">
        <f>+Precios!G51*Precios!G$3</f>
        <v>0</v>
      </c>
      <c r="L53" s="12">
        <f>+Precios!H51*Precios!H$3</f>
        <v>0</v>
      </c>
      <c r="M53" s="12">
        <f>+Precios!I51*Precios!I$3</f>
        <v>0</v>
      </c>
      <c r="N53" s="12">
        <f>+Precios!J51*Precios!J$3</f>
        <v>0</v>
      </c>
      <c r="O53" s="12">
        <f>+Precios!K51*Precios!K$3</f>
        <v>0</v>
      </c>
      <c r="P53" s="12">
        <f>+Precios!L51*Precios!L$3</f>
        <v>0</v>
      </c>
      <c r="Q53" s="12">
        <f>+Precios!M51*Precios!M$3</f>
        <v>0</v>
      </c>
      <c r="R53" s="12">
        <f>+Precios!N51*Precios!N$3</f>
        <v>0</v>
      </c>
      <c r="S53" s="12">
        <f>+Precios!O51*Precios!O$3</f>
        <v>0</v>
      </c>
      <c r="T53" s="12">
        <f>+Precios!P51*Precios!P$3</f>
        <v>0</v>
      </c>
      <c r="U53" s="12">
        <f>+Precios!Q51*Precios!Q$3</f>
        <v>0</v>
      </c>
      <c r="V53" s="12">
        <f>+Precios!R51*Precios!R$3</f>
        <v>0</v>
      </c>
      <c r="W53" s="12">
        <f>+Precios!S51*Precios!S$3</f>
        <v>0</v>
      </c>
      <c r="X53" s="12">
        <f>+Precios!T51*Precios!T$3</f>
        <v>0</v>
      </c>
      <c r="Y53" s="12">
        <f>+Precios!U51*Precios!U$3</f>
        <v>0</v>
      </c>
      <c r="Z53" s="12">
        <f>+Precios!V51*Precios!V$3</f>
        <v>0</v>
      </c>
      <c r="AA53" s="12">
        <f>+Precios!W51*Precios!W$3</f>
        <v>0</v>
      </c>
      <c r="AB53" s="12">
        <f>+Precios!X51*Precios!X$3</f>
        <v>0</v>
      </c>
      <c r="AC53" s="12">
        <f>+Precios!Y51*Precios!Y$3</f>
        <v>0</v>
      </c>
      <c r="AD53" s="12">
        <f>+Precios!Z51*Precios!Z$3</f>
        <v>0</v>
      </c>
      <c r="AE53" s="12">
        <f>+Precios!AA51*Precios!AA$3</f>
        <v>0</v>
      </c>
      <c r="AF53" s="12">
        <f>+Precios!AB51*Precios!AB$3</f>
        <v>0</v>
      </c>
      <c r="AG53" s="12">
        <f>+Precios!AC51*Precios!AC$3</f>
        <v>0</v>
      </c>
      <c r="AH53" s="12">
        <f>+Precios!AD51*Precios!AD$3</f>
        <v>0</v>
      </c>
      <c r="AI53" s="12">
        <f>+Precios!AE51*Precios!AE$3</f>
        <v>0</v>
      </c>
      <c r="AJ53" s="12">
        <f>+Precios!AF51*Precios!AF$3</f>
        <v>0</v>
      </c>
      <c r="AK53" s="12">
        <f>+Precios!AG51*Precios!AG$3</f>
        <v>0</v>
      </c>
      <c r="AL53" s="12">
        <f>+Precios!AH51*Precios!AH$3</f>
        <v>0</v>
      </c>
      <c r="AM53" s="12">
        <f>+Precios!AI51*Precios!AI$3</f>
        <v>0</v>
      </c>
      <c r="AN53" s="12">
        <f>+Precios!AJ51*Precios!AJ$3</f>
        <v>0</v>
      </c>
      <c r="AO53" s="12">
        <f>+Precios!AK51*Precios!AK$3</f>
        <v>0</v>
      </c>
      <c r="AP53" s="12">
        <f>+Precios!AL51*Precios!AL$3</f>
        <v>0</v>
      </c>
      <c r="AQ53" s="12">
        <f>+Precios!AM51*Precios!AM$3</f>
        <v>0</v>
      </c>
      <c r="AR53" s="12">
        <f>+Precios!AN51*Precios!AN$3</f>
        <v>0</v>
      </c>
      <c r="AS53" s="12">
        <f>+Precios!AO51*Precios!AO$3</f>
        <v>0</v>
      </c>
      <c r="AT53" s="12">
        <f>+Precios!AP51*Precios!AP$3</f>
        <v>0</v>
      </c>
      <c r="AU53" s="12">
        <f>+Precios!AQ51*Precios!AQ$3</f>
        <v>0</v>
      </c>
      <c r="AV53" s="12">
        <f>+Precios!AR51*Precios!AR$3</f>
        <v>0</v>
      </c>
      <c r="AW53" s="12">
        <f>+Precios!AS51*Precios!AS$3</f>
        <v>0</v>
      </c>
      <c r="AX53" s="12">
        <f>+Precios!AT51*Precios!AT$3</f>
        <v>0</v>
      </c>
      <c r="AY53" s="12">
        <f>+Precios!AU51*$AY$3</f>
        <v>0</v>
      </c>
      <c r="AZ53" s="12">
        <f>+Precios!AV51*Precios!AV$3</f>
        <v>0</v>
      </c>
      <c r="BA53" s="12">
        <f>+Precios!AW51*Precios!AW$3</f>
        <v>0</v>
      </c>
      <c r="BB53" s="12">
        <f>+Precios!AX51*Precios!AX$3</f>
        <v>0</v>
      </c>
      <c r="BC53" s="12">
        <f>+Precios!AY51*Precios!AY$3</f>
        <v>0</v>
      </c>
      <c r="BD53" s="12">
        <f>+Precios!AZ51*Precios!AZ$3</f>
        <v>0</v>
      </c>
      <c r="BE53" s="12">
        <f>+Precios!BA51*Precios!BA$3</f>
        <v>0</v>
      </c>
      <c r="BF53" s="12">
        <f>+Precios!BB51*Precios!BB$3</f>
        <v>0</v>
      </c>
      <c r="BG53" s="12">
        <f>+Precios!BC51*Precios!BC$3</f>
        <v>0</v>
      </c>
      <c r="BH53" s="12">
        <f>+Precios!BD51*$BH$3</f>
        <v>0</v>
      </c>
      <c r="BI53" s="12">
        <f>+Precios!BE51*Precios!BE$3</f>
        <v>0</v>
      </c>
      <c r="BJ53" s="12">
        <f>+Precios!BF51*Precios!BF$3</f>
        <v>0</v>
      </c>
      <c r="BK53" s="12">
        <f>+Precios!BG51*Precios!BG$3</f>
        <v>0</v>
      </c>
      <c r="BL53" s="12">
        <f>+Precios!BH51*Precios!BH$3</f>
        <v>0</v>
      </c>
      <c r="BM53" s="12">
        <f>+Precios!BI51*Precios!BI$3</f>
        <v>0</v>
      </c>
      <c r="BN53" s="12">
        <f>+Precios!BJ51*$BN$3</f>
        <v>0</v>
      </c>
      <c r="BO53" s="12">
        <f>+Precios!BK51*$BO$3</f>
        <v>0</v>
      </c>
      <c r="BP53" s="12">
        <f>+Precios!BL51*Precios!BL$3</f>
        <v>0</v>
      </c>
    </row>
    <row r="54" spans="1:68" ht="15" thickBot="1">
      <c r="A54" s="5">
        <f>+SUM(F54:XFD54)</f>
        <v>0</v>
      </c>
      <c r="B54" s="26"/>
      <c r="C54" s="5">
        <f t="shared" si="0"/>
        <v>34974.349999999991</v>
      </c>
      <c r="D54" s="5">
        <f>1000000+C54-Cost!A54</f>
        <v>1034974.35</v>
      </c>
      <c r="E54" s="15">
        <f>+Precios!A52</f>
        <v>46044</v>
      </c>
      <c r="F54" s="12">
        <f>+Precios!B52*Precios!B$3</f>
        <v>0</v>
      </c>
      <c r="G54" s="12">
        <f>+Precios!C52*Precios!C$3</f>
        <v>0</v>
      </c>
      <c r="H54" s="12">
        <f>+Precios!D52*Precios!D$3</f>
        <v>0</v>
      </c>
      <c r="I54" s="12">
        <f>+Precios!E52*Precios!E$3</f>
        <v>0</v>
      </c>
      <c r="J54" s="12">
        <f>+Precios!F52*Precios!F$3</f>
        <v>0</v>
      </c>
      <c r="K54" s="12">
        <f>+Precios!G52*Precios!G$3</f>
        <v>0</v>
      </c>
      <c r="L54" s="12">
        <f>+Precios!H52*Precios!H$3</f>
        <v>0</v>
      </c>
      <c r="M54" s="12">
        <f>+Precios!I52*Precios!I$3</f>
        <v>0</v>
      </c>
      <c r="N54" s="12">
        <f>+Precios!J52*Precios!J$3</f>
        <v>0</v>
      </c>
      <c r="O54" s="12">
        <f>+Precios!K52*Precios!K$3</f>
        <v>0</v>
      </c>
      <c r="P54" s="12">
        <f>+Precios!L52*Precios!L$3</f>
        <v>0</v>
      </c>
      <c r="Q54" s="12">
        <f>+Precios!M52*Precios!M$3</f>
        <v>0</v>
      </c>
      <c r="R54" s="12">
        <f>+Precios!N52*Precios!N$3</f>
        <v>0</v>
      </c>
      <c r="S54" s="12">
        <f>+Precios!O52*Precios!O$3</f>
        <v>0</v>
      </c>
      <c r="T54" s="12">
        <f>+Precios!P52*Precios!P$3</f>
        <v>0</v>
      </c>
      <c r="U54" s="12">
        <f>+Precios!Q52*Precios!Q$3</f>
        <v>0</v>
      </c>
      <c r="V54" s="12">
        <f>+Precios!R52*Precios!R$3</f>
        <v>0</v>
      </c>
      <c r="W54" s="12">
        <f>+Precios!S52*Precios!S$3</f>
        <v>0</v>
      </c>
      <c r="X54" s="12">
        <f>+Precios!T52*Precios!T$3</f>
        <v>0</v>
      </c>
      <c r="Y54" s="12">
        <f>+Precios!U52*Precios!U$3</f>
        <v>0</v>
      </c>
      <c r="Z54" s="12">
        <f>+Precios!V52*Precios!V$3</f>
        <v>0</v>
      </c>
      <c r="AA54" s="12">
        <f>+Precios!W52*Precios!W$3</f>
        <v>0</v>
      </c>
      <c r="AB54" s="12">
        <f>+Precios!X52*Precios!X$3</f>
        <v>0</v>
      </c>
      <c r="AC54" s="12">
        <f>+Precios!Y52*Precios!Y$3</f>
        <v>0</v>
      </c>
      <c r="AD54" s="12">
        <f>+Precios!Z52*Precios!Z$3</f>
        <v>0</v>
      </c>
      <c r="AE54" s="12">
        <f>+Precios!AA52*Precios!AA$3</f>
        <v>0</v>
      </c>
      <c r="AF54" s="12">
        <f>+Precios!AB52*Precios!AB$3</f>
        <v>0</v>
      </c>
      <c r="AG54" s="12">
        <f>+Precios!AC52*Precios!AC$3</f>
        <v>0</v>
      </c>
      <c r="AH54" s="12">
        <f>+Precios!AD52*Precios!AD$3</f>
        <v>0</v>
      </c>
      <c r="AI54" s="12">
        <f>+Precios!AE52*Precios!AE$3</f>
        <v>0</v>
      </c>
      <c r="AJ54" s="12">
        <f>+Precios!AF52*Precios!AF$3</f>
        <v>0</v>
      </c>
      <c r="AK54" s="12">
        <f>+Precios!AG52*Precios!AG$3</f>
        <v>0</v>
      </c>
      <c r="AL54" s="12">
        <f>+Precios!AH52*Precios!AH$3</f>
        <v>0</v>
      </c>
      <c r="AM54" s="12">
        <f>+Precios!AI52*Precios!AI$3</f>
        <v>0</v>
      </c>
      <c r="AN54" s="12">
        <f>+Precios!AJ52*Precios!AJ$3</f>
        <v>0</v>
      </c>
      <c r="AO54" s="12">
        <f>+Precios!AK52*Precios!AK$3</f>
        <v>0</v>
      </c>
      <c r="AP54" s="12">
        <f>+Precios!AL52*Precios!AL$3</f>
        <v>0</v>
      </c>
      <c r="AQ54" s="12">
        <f>+Precios!AM52*Precios!AM$3</f>
        <v>0</v>
      </c>
      <c r="AR54" s="12">
        <f>+Precios!AN52*Precios!AN$3</f>
        <v>0</v>
      </c>
      <c r="AS54" s="12">
        <f>+Precios!AO52*Precios!AO$3</f>
        <v>0</v>
      </c>
      <c r="AT54" s="12">
        <f>+Precios!AP52*Precios!AP$3</f>
        <v>0</v>
      </c>
      <c r="AU54" s="12">
        <f>+Precios!AQ52*Precios!AQ$3</f>
        <v>0</v>
      </c>
      <c r="AV54" s="12">
        <f>+Precios!AR52*Precios!AR$3</f>
        <v>0</v>
      </c>
      <c r="AW54" s="12">
        <f>+Precios!AS52*Precios!AS$3</f>
        <v>0</v>
      </c>
      <c r="AX54" s="12">
        <f>+Precios!AT52*Precios!AT$3</f>
        <v>0</v>
      </c>
      <c r="AY54" s="12">
        <f>+Precios!AU52*$AY$3</f>
        <v>0</v>
      </c>
      <c r="AZ54" s="12">
        <f>+Precios!AV52*Precios!AV$3</f>
        <v>0</v>
      </c>
      <c r="BA54" s="12">
        <f>+Precios!AW52*Precios!AW$3</f>
        <v>0</v>
      </c>
      <c r="BB54" s="12">
        <f>+Precios!AX52*Precios!AX$3</f>
        <v>0</v>
      </c>
      <c r="BC54" s="12">
        <f>+Precios!AY52*Precios!AY$3</f>
        <v>0</v>
      </c>
      <c r="BD54" s="12">
        <f>+Precios!AZ52*Precios!AZ$3</f>
        <v>0</v>
      </c>
      <c r="BE54" s="12">
        <f>+Precios!BA52*Precios!BA$3</f>
        <v>0</v>
      </c>
      <c r="BF54" s="12">
        <f>+Precios!BB52*Precios!BB$3</f>
        <v>0</v>
      </c>
      <c r="BG54" s="12">
        <f>+Precios!BC52*Precios!BC$3</f>
        <v>0</v>
      </c>
      <c r="BH54" s="12">
        <f>+Precios!BD52*$BH$3</f>
        <v>0</v>
      </c>
      <c r="BI54" s="12">
        <f>+Precios!BE52*Precios!BE$3</f>
        <v>0</v>
      </c>
      <c r="BJ54" s="12">
        <f>+Precios!BF52*Precios!BF$3</f>
        <v>0</v>
      </c>
      <c r="BK54" s="12">
        <f>+Precios!BG52*Precios!BG$3</f>
        <v>0</v>
      </c>
      <c r="BL54" s="12">
        <f>+Precios!BH52*Precios!BH$3</f>
        <v>0</v>
      </c>
      <c r="BM54" s="12">
        <f>+Precios!BI52*Precios!BI$3</f>
        <v>0</v>
      </c>
      <c r="BN54" s="12">
        <f>+Precios!BJ52*$BN$3</f>
        <v>0</v>
      </c>
      <c r="BO54" s="12">
        <f>+Precios!BK52*$BO$3</f>
        <v>0</v>
      </c>
      <c r="BP54" s="12">
        <f>+Precios!BL52*Precios!BL$3</f>
        <v>0</v>
      </c>
    </row>
    <row r="55" spans="1:68" ht="15" thickBot="1">
      <c r="A55" s="5">
        <f>+SUM(F55:XFD55)</f>
        <v>0</v>
      </c>
      <c r="B55" s="26"/>
      <c r="C55" s="5">
        <f t="shared" si="0"/>
        <v>34974.349999999991</v>
      </c>
      <c r="D55" s="5">
        <f>1000000+C55-Cost!A55</f>
        <v>1034974.35</v>
      </c>
      <c r="E55" s="15">
        <f>+Precios!A53</f>
        <v>46045</v>
      </c>
      <c r="F55" s="12">
        <f>+Precios!B53*Precios!B$3</f>
        <v>0</v>
      </c>
      <c r="G55" s="12">
        <f>+Precios!C53*Precios!C$3</f>
        <v>0</v>
      </c>
      <c r="H55" s="12">
        <f>+Precios!D53*Precios!D$3</f>
        <v>0</v>
      </c>
      <c r="I55" s="12">
        <f>+Precios!E53*Precios!E$3</f>
        <v>0</v>
      </c>
      <c r="J55" s="12">
        <f>+Precios!F53*Precios!F$3</f>
        <v>0</v>
      </c>
      <c r="K55" s="12">
        <f>+Precios!G53*Precios!G$3</f>
        <v>0</v>
      </c>
      <c r="L55" s="12">
        <f>+Precios!H53*Precios!H$3</f>
        <v>0</v>
      </c>
      <c r="M55" s="12">
        <f>+Precios!I53*Precios!I$3</f>
        <v>0</v>
      </c>
      <c r="N55" s="12">
        <f>+Precios!J53*Precios!J$3</f>
        <v>0</v>
      </c>
      <c r="O55" s="12">
        <f>+Precios!K53*Precios!K$3</f>
        <v>0</v>
      </c>
      <c r="P55" s="12">
        <f>+Precios!L53*Precios!L$3</f>
        <v>0</v>
      </c>
      <c r="Q55" s="12">
        <f>+Precios!M53*Precios!M$3</f>
        <v>0</v>
      </c>
      <c r="R55" s="12">
        <f>+Precios!N53*Precios!N$3</f>
        <v>0</v>
      </c>
      <c r="S55" s="12">
        <f>+Precios!O53*Precios!O$3</f>
        <v>0</v>
      </c>
      <c r="T55" s="12">
        <f>+Precios!P53*Precios!P$3</f>
        <v>0</v>
      </c>
      <c r="U55" s="12">
        <f>+Precios!Q53*Precios!Q$3</f>
        <v>0</v>
      </c>
      <c r="V55" s="12">
        <f>+Precios!R53*Precios!R$3</f>
        <v>0</v>
      </c>
      <c r="W55" s="12">
        <f>+Precios!S53*Precios!S$3</f>
        <v>0</v>
      </c>
      <c r="X55" s="12">
        <f>+Precios!T53*Precios!T$3</f>
        <v>0</v>
      </c>
      <c r="Y55" s="12">
        <f>+Precios!U53*Precios!U$3</f>
        <v>0</v>
      </c>
      <c r="Z55" s="12">
        <f>+Precios!V53*Precios!V$3</f>
        <v>0</v>
      </c>
      <c r="AA55" s="12">
        <f>+Precios!W53*Precios!W$3</f>
        <v>0</v>
      </c>
      <c r="AB55" s="12">
        <f>+Precios!X53*Precios!X$3</f>
        <v>0</v>
      </c>
      <c r="AC55" s="12">
        <f>+Precios!Y53*Precios!Y$3</f>
        <v>0</v>
      </c>
      <c r="AD55" s="12">
        <f>+Precios!Z53*Precios!Z$3</f>
        <v>0</v>
      </c>
      <c r="AE55" s="12">
        <f>+Precios!AA53*Precios!AA$3</f>
        <v>0</v>
      </c>
      <c r="AF55" s="12">
        <f>+Precios!AB53*Precios!AB$3</f>
        <v>0</v>
      </c>
      <c r="AG55" s="12">
        <f>+Precios!AC53*Precios!AC$3</f>
        <v>0</v>
      </c>
      <c r="AH55" s="12">
        <f>+Precios!AD53*Precios!AD$3</f>
        <v>0</v>
      </c>
      <c r="AI55" s="12">
        <f>+Precios!AE53*Precios!AE$3</f>
        <v>0</v>
      </c>
      <c r="AJ55" s="12">
        <f>+Precios!AF53*Precios!AF$3</f>
        <v>0</v>
      </c>
      <c r="AK55" s="12">
        <f>+Precios!AG53*Precios!AG$3</f>
        <v>0</v>
      </c>
      <c r="AL55" s="12">
        <f>+Precios!AH53*Precios!AH$3</f>
        <v>0</v>
      </c>
      <c r="AM55" s="12">
        <f>+Precios!AI53*Precios!AI$3</f>
        <v>0</v>
      </c>
      <c r="AN55" s="12">
        <f>+Precios!AJ53*Precios!AJ$3</f>
        <v>0</v>
      </c>
      <c r="AO55" s="12">
        <f>+Precios!AK53*Precios!AK$3</f>
        <v>0</v>
      </c>
      <c r="AP55" s="12">
        <f>+Precios!AL53*Precios!AL$3</f>
        <v>0</v>
      </c>
      <c r="AQ55" s="12">
        <f>+Precios!AM53*Precios!AM$3</f>
        <v>0</v>
      </c>
      <c r="AR55" s="12">
        <f>+Precios!AN53*Precios!AN$3</f>
        <v>0</v>
      </c>
      <c r="AS55" s="12">
        <f>+Precios!AO53*Precios!AO$3</f>
        <v>0</v>
      </c>
      <c r="AT55" s="12">
        <f>+Precios!AP53*Precios!AP$3</f>
        <v>0</v>
      </c>
      <c r="AU55" s="12">
        <f>+Precios!AQ53*Precios!AQ$3</f>
        <v>0</v>
      </c>
      <c r="AV55" s="12">
        <f>+Precios!AR53*Precios!AR$3</f>
        <v>0</v>
      </c>
      <c r="AW55" s="12">
        <f>+Precios!AS53*Precios!AS$3</f>
        <v>0</v>
      </c>
      <c r="AX55" s="12">
        <f>+Precios!AT53*Precios!AT$3</f>
        <v>0</v>
      </c>
      <c r="AY55" s="12">
        <f>+Precios!AU53*$AY$3</f>
        <v>0</v>
      </c>
      <c r="AZ55" s="12">
        <f>+Precios!AV53*Precios!AV$3</f>
        <v>0</v>
      </c>
      <c r="BA55" s="12">
        <f>+Precios!AW53*Precios!AW$3</f>
        <v>0</v>
      </c>
      <c r="BB55" s="12">
        <f>+Precios!AX53*Precios!AX$3</f>
        <v>0</v>
      </c>
      <c r="BC55" s="12">
        <f>+Precios!AY53*Precios!AY$3</f>
        <v>0</v>
      </c>
      <c r="BD55" s="12">
        <f>+Precios!AZ53*Precios!AZ$3</f>
        <v>0</v>
      </c>
      <c r="BE55" s="12">
        <f>+Precios!BA53*Precios!BA$3</f>
        <v>0</v>
      </c>
      <c r="BF55" s="12">
        <f>+Precios!BB53*Precios!BB$3</f>
        <v>0</v>
      </c>
      <c r="BG55" s="12">
        <f>+Precios!BC53*Precios!BC$3</f>
        <v>0</v>
      </c>
      <c r="BH55" s="12">
        <f>+Precios!BD53*$BH$3</f>
        <v>0</v>
      </c>
      <c r="BI55" s="12">
        <f>+Precios!BE53*Precios!BE$3</f>
        <v>0</v>
      </c>
      <c r="BJ55" s="12">
        <f>+Precios!BF53*Precios!BF$3</f>
        <v>0</v>
      </c>
      <c r="BK55" s="12">
        <f>+Precios!BG53*Precios!BG$3</f>
        <v>0</v>
      </c>
      <c r="BL55" s="12">
        <f>+Precios!BH53*Precios!BH$3</f>
        <v>0</v>
      </c>
      <c r="BM55" s="12">
        <f>+Precios!BI53*Precios!BI$3</f>
        <v>0</v>
      </c>
      <c r="BN55" s="12">
        <f>+Precios!BJ53*$BN$3</f>
        <v>0</v>
      </c>
      <c r="BO55" s="12">
        <f>+Precios!BK53*$BO$3</f>
        <v>0</v>
      </c>
      <c r="BP55" s="12">
        <f>+Precios!BL53*Precios!BL$3</f>
        <v>0</v>
      </c>
    </row>
    <row r="56" spans="1:68" ht="15" thickBot="1">
      <c r="A56" s="5">
        <f>+SUM(F56:XFD56)</f>
        <v>0</v>
      </c>
      <c r="B56" s="26"/>
      <c r="C56" s="5">
        <f t="shared" si="0"/>
        <v>34974.349999999991</v>
      </c>
      <c r="D56" s="5">
        <f>1000000+C56-Cost!A56</f>
        <v>1034974.35</v>
      </c>
      <c r="E56" s="15">
        <f>+Precios!A54</f>
        <v>46048</v>
      </c>
      <c r="F56" s="12">
        <f>+Precios!B54*Precios!B$3</f>
        <v>0</v>
      </c>
      <c r="G56" s="12">
        <f>+Precios!C54*Precios!C$3</f>
        <v>0</v>
      </c>
      <c r="H56" s="12">
        <f>+Precios!D54*Precios!D$3</f>
        <v>0</v>
      </c>
      <c r="I56" s="12">
        <f>+Precios!E54*Precios!E$3</f>
        <v>0</v>
      </c>
      <c r="J56" s="12">
        <f>+Precios!F54*Precios!F$3</f>
        <v>0</v>
      </c>
      <c r="K56" s="12">
        <f>+Precios!G54*Precios!G$3</f>
        <v>0</v>
      </c>
      <c r="L56" s="12">
        <f>+Precios!H54*Precios!H$3</f>
        <v>0</v>
      </c>
      <c r="M56" s="12">
        <f>+Precios!I54*Precios!I$3</f>
        <v>0</v>
      </c>
      <c r="N56" s="12">
        <f>+Precios!J54*Precios!J$3</f>
        <v>0</v>
      </c>
      <c r="O56" s="12">
        <f>+Precios!K54*Precios!K$3</f>
        <v>0</v>
      </c>
      <c r="P56" s="12">
        <f>+Precios!L54*Precios!L$3</f>
        <v>0</v>
      </c>
      <c r="Q56" s="12">
        <f>+Precios!M54*Precios!M$3</f>
        <v>0</v>
      </c>
      <c r="R56" s="12">
        <f>+Precios!N54*Precios!N$3</f>
        <v>0</v>
      </c>
      <c r="S56" s="12">
        <f>+Precios!O54*Precios!O$3</f>
        <v>0</v>
      </c>
      <c r="T56" s="12">
        <f>+Precios!P54*Precios!P$3</f>
        <v>0</v>
      </c>
      <c r="U56" s="12">
        <f>+Precios!Q54*Precios!Q$3</f>
        <v>0</v>
      </c>
      <c r="V56" s="12">
        <f>+Precios!R54*Precios!R$3</f>
        <v>0</v>
      </c>
      <c r="W56" s="12">
        <f>+Precios!S54*Precios!S$3</f>
        <v>0</v>
      </c>
      <c r="X56" s="12">
        <f>+Precios!T54*Precios!T$3</f>
        <v>0</v>
      </c>
      <c r="Y56" s="12">
        <f>+Precios!U54*Precios!U$3</f>
        <v>0</v>
      </c>
      <c r="Z56" s="12">
        <f>+Precios!V54*Precios!V$3</f>
        <v>0</v>
      </c>
      <c r="AA56" s="12">
        <f>+Precios!W54*Precios!W$3</f>
        <v>0</v>
      </c>
      <c r="AB56" s="12">
        <f>+Precios!X54*Precios!X$3</f>
        <v>0</v>
      </c>
      <c r="AC56" s="12">
        <f>+Precios!Y54*Precios!Y$3</f>
        <v>0</v>
      </c>
      <c r="AD56" s="12">
        <f>+Precios!Z54*Precios!Z$3</f>
        <v>0</v>
      </c>
      <c r="AE56" s="12">
        <f>+Precios!AA54*Precios!AA$3</f>
        <v>0</v>
      </c>
      <c r="AF56" s="12">
        <f>+Precios!AB54*Precios!AB$3</f>
        <v>0</v>
      </c>
      <c r="AG56" s="12">
        <f>+Precios!AC54*Precios!AC$3</f>
        <v>0</v>
      </c>
      <c r="AH56" s="12">
        <f>+Precios!AD54*Precios!AD$3</f>
        <v>0</v>
      </c>
      <c r="AI56" s="12">
        <f>+Precios!AE54*Precios!AE$3</f>
        <v>0</v>
      </c>
      <c r="AJ56" s="12">
        <f>+Precios!AF54*Precios!AF$3</f>
        <v>0</v>
      </c>
      <c r="AK56" s="12">
        <f>+Precios!AG54*Precios!AG$3</f>
        <v>0</v>
      </c>
      <c r="AL56" s="12">
        <f>+Precios!AH54*Precios!AH$3</f>
        <v>0</v>
      </c>
      <c r="AM56" s="12">
        <f>+Precios!AI54*Precios!AI$3</f>
        <v>0</v>
      </c>
      <c r="AN56" s="12">
        <f>+Precios!AJ54*Precios!AJ$3</f>
        <v>0</v>
      </c>
      <c r="AO56" s="12">
        <f>+Precios!AK54*Precios!AK$3</f>
        <v>0</v>
      </c>
      <c r="AP56" s="12">
        <f>+Precios!AL54*Precios!AL$3</f>
        <v>0</v>
      </c>
      <c r="AQ56" s="12">
        <f>+Precios!AM54*Precios!AM$3</f>
        <v>0</v>
      </c>
      <c r="AR56" s="12">
        <f>+Precios!AN54*Precios!AN$3</f>
        <v>0</v>
      </c>
      <c r="AS56" s="12">
        <f>+Precios!AO54*Precios!AO$3</f>
        <v>0</v>
      </c>
      <c r="AT56" s="12">
        <f>+Precios!AP54*Precios!AP$3</f>
        <v>0</v>
      </c>
      <c r="AU56" s="12">
        <f>+Precios!AQ54*Precios!AQ$3</f>
        <v>0</v>
      </c>
      <c r="AV56" s="12">
        <f>+Precios!AR54*Precios!AR$3</f>
        <v>0</v>
      </c>
      <c r="AW56" s="12">
        <f>+Precios!AS54*Precios!AS$3</f>
        <v>0</v>
      </c>
      <c r="AX56" s="12">
        <f>+Precios!AT54*Precios!AT$3</f>
        <v>0</v>
      </c>
      <c r="AY56" s="12">
        <f>+Precios!AU54*$AY$3</f>
        <v>0</v>
      </c>
      <c r="AZ56" s="12">
        <f>+Precios!AV54*Precios!AV$3</f>
        <v>0</v>
      </c>
      <c r="BA56" s="12">
        <f>+Precios!AW54*Precios!AW$3</f>
        <v>0</v>
      </c>
      <c r="BB56" s="12">
        <f>+Precios!AX54*Precios!AX$3</f>
        <v>0</v>
      </c>
      <c r="BC56" s="12">
        <f>+Precios!AY54*Precios!AY$3</f>
        <v>0</v>
      </c>
      <c r="BD56" s="12">
        <f>+Precios!AZ54*Precios!AZ$3</f>
        <v>0</v>
      </c>
      <c r="BE56" s="12">
        <f>+Precios!BA54*Precios!BA$3</f>
        <v>0</v>
      </c>
      <c r="BF56" s="12">
        <f>+Precios!BB54*Precios!BB$3</f>
        <v>0</v>
      </c>
      <c r="BG56" s="12">
        <f>+Precios!BC54*Precios!BC$3</f>
        <v>0</v>
      </c>
      <c r="BH56" s="12">
        <f>+Precios!BD54*$BH$3</f>
        <v>0</v>
      </c>
      <c r="BI56" s="12">
        <f>+Precios!BE54*Precios!BE$3</f>
        <v>0</v>
      </c>
      <c r="BJ56" s="12">
        <f>+Precios!BF54*Precios!BF$3</f>
        <v>0</v>
      </c>
      <c r="BK56" s="12">
        <f>+Precios!BG54*Precios!BG$3</f>
        <v>0</v>
      </c>
      <c r="BL56" s="12">
        <f>+Precios!BH54*Precios!BH$3</f>
        <v>0</v>
      </c>
      <c r="BM56" s="12">
        <f>+Precios!BI54*Precios!BI$3</f>
        <v>0</v>
      </c>
      <c r="BN56" s="12">
        <f>+Precios!BJ54*$BN$3</f>
        <v>0</v>
      </c>
      <c r="BO56" s="12">
        <f>+Precios!BK54*$BO$3</f>
        <v>0</v>
      </c>
      <c r="BP56" s="12">
        <f>+Precios!BL54*Precios!BL$3</f>
        <v>0</v>
      </c>
    </row>
    <row r="57" spans="1:68" ht="15" thickBot="1">
      <c r="A57" s="5">
        <f>+SUM(F57:XFD57)</f>
        <v>0</v>
      </c>
      <c r="B57" s="26">
        <f>+TRACK!M23</f>
        <v>-19107.219999999998</v>
      </c>
      <c r="C57" s="5">
        <f t="shared" si="0"/>
        <v>15867.129999999994</v>
      </c>
      <c r="D57" s="5">
        <f>1000000+C57-Cost!A57</f>
        <v>1015867.13</v>
      </c>
      <c r="E57" s="15">
        <f>+Precios!A55</f>
        <v>46049</v>
      </c>
      <c r="F57" s="12">
        <f>+Precios!B55*Precios!B$3</f>
        <v>0</v>
      </c>
      <c r="G57" s="12">
        <f>+Precios!C55*Precios!C$3</f>
        <v>0</v>
      </c>
      <c r="H57" s="12">
        <f>+Precios!D55*Precios!D$3</f>
        <v>0</v>
      </c>
      <c r="I57" s="12">
        <f>+Precios!E55*Precios!E$3</f>
        <v>0</v>
      </c>
      <c r="J57" s="12">
        <f>+Precios!F55*Precios!F$3</f>
        <v>0</v>
      </c>
      <c r="K57" s="12">
        <f>+Precios!G55*Precios!G$3</f>
        <v>0</v>
      </c>
      <c r="L57" s="12">
        <f>+Precios!H55*Precios!H$3</f>
        <v>0</v>
      </c>
      <c r="M57" s="12">
        <f>+Precios!I55*Precios!I$3</f>
        <v>0</v>
      </c>
      <c r="N57" s="12">
        <f>+Precios!J55*Precios!J$3</f>
        <v>0</v>
      </c>
      <c r="O57" s="12">
        <f>+Precios!K55*Precios!K$3</f>
        <v>0</v>
      </c>
      <c r="P57" s="12">
        <f>+Precios!L55*Precios!L$3</f>
        <v>0</v>
      </c>
      <c r="Q57" s="12">
        <f>+Precios!M55*Precios!M$3</f>
        <v>0</v>
      </c>
      <c r="R57" s="12">
        <f>+Precios!N55*Precios!N$3</f>
        <v>0</v>
      </c>
      <c r="S57" s="12">
        <f>+Precios!O55*Precios!O$3</f>
        <v>0</v>
      </c>
      <c r="T57" s="12">
        <f>+Precios!P55*Precios!P$3</f>
        <v>0</v>
      </c>
      <c r="U57" s="12">
        <f>+Precios!Q55*Precios!Q$3</f>
        <v>0</v>
      </c>
      <c r="V57" s="12">
        <f>+Precios!R55*Precios!R$3</f>
        <v>0</v>
      </c>
      <c r="W57" s="12">
        <f>+Precios!S55*Precios!S$3</f>
        <v>0</v>
      </c>
      <c r="X57" s="12">
        <f>+Precios!T55*Precios!T$3</f>
        <v>0</v>
      </c>
      <c r="Y57" s="12">
        <f>+Precios!U55*Precios!U$3</f>
        <v>0</v>
      </c>
      <c r="Z57" s="12">
        <f>+Precios!V55*Precios!V$3</f>
        <v>0</v>
      </c>
      <c r="AA57" s="12">
        <f>+Precios!W55*Precios!W$3</f>
        <v>0</v>
      </c>
      <c r="AB57" s="12">
        <f>+Precios!X55*Precios!X$3</f>
        <v>0</v>
      </c>
      <c r="AC57" s="12">
        <f>+Precios!Y55*Precios!Y$3</f>
        <v>0</v>
      </c>
      <c r="AD57" s="12">
        <f>+Precios!Z55*Precios!Z$3</f>
        <v>0</v>
      </c>
      <c r="AE57" s="12">
        <f>+Precios!AA55*Precios!AA$3</f>
        <v>0</v>
      </c>
      <c r="AF57" s="12">
        <f>+Precios!AB55*Precios!AB$3</f>
        <v>0</v>
      </c>
      <c r="AG57" s="12">
        <f>+Precios!AC55*Precios!AC$3</f>
        <v>0</v>
      </c>
      <c r="AH57" s="12">
        <f>+Precios!AD55*Precios!AD$3</f>
        <v>0</v>
      </c>
      <c r="AI57" s="12">
        <f>+Precios!AE55*Precios!AE$3</f>
        <v>0</v>
      </c>
      <c r="AJ57" s="12">
        <f>+Precios!AF55*Precios!AF$3</f>
        <v>0</v>
      </c>
      <c r="AK57" s="12">
        <f>+Precios!AG55*Precios!AG$3</f>
        <v>0</v>
      </c>
      <c r="AL57" s="12">
        <f>+Precios!AH55*Precios!AH$3</f>
        <v>0</v>
      </c>
      <c r="AM57" s="12">
        <f>+Precios!AI55*Precios!AI$3</f>
        <v>0</v>
      </c>
      <c r="AN57" s="12">
        <f>+Precios!AJ55*Precios!AJ$3</f>
        <v>0</v>
      </c>
      <c r="AO57" s="12">
        <f>+Precios!AK55*Precios!AK$3</f>
        <v>0</v>
      </c>
      <c r="AP57" s="12">
        <f>+Precios!AL55*Precios!AL$3</f>
        <v>0</v>
      </c>
      <c r="AQ57" s="12">
        <f>+Precios!AM55*Precios!AM$3</f>
        <v>0</v>
      </c>
      <c r="AR57" s="12">
        <f>+Precios!AN55*Precios!AN$3</f>
        <v>0</v>
      </c>
      <c r="AS57" s="12">
        <f>+Precios!AO55*Precios!AO$3</f>
        <v>0</v>
      </c>
      <c r="AT57" s="12">
        <f>+Precios!AP55*Precios!AP$3</f>
        <v>0</v>
      </c>
      <c r="AU57" s="12">
        <f>+Precios!AQ55*Precios!AQ$3</f>
        <v>0</v>
      </c>
      <c r="AV57" s="12">
        <f>+Precios!AR55*Precios!AR$3</f>
        <v>0</v>
      </c>
      <c r="AW57" s="12">
        <f>+Precios!AS55*Precios!AS$3</f>
        <v>0</v>
      </c>
      <c r="AX57" s="12">
        <f>+Precios!AT55*Precios!AT$3</f>
        <v>0</v>
      </c>
      <c r="AY57" s="12">
        <f>+Precios!AU55*$AY$3</f>
        <v>0</v>
      </c>
      <c r="AZ57" s="12">
        <f>+Precios!AV55*Precios!AV$3</f>
        <v>0</v>
      </c>
      <c r="BA57" s="12">
        <f>+Precios!AW55*Precios!AW$3</f>
        <v>0</v>
      </c>
      <c r="BB57" s="12">
        <f>+Precios!AX55*Precios!AX$3</f>
        <v>0</v>
      </c>
      <c r="BC57" s="12">
        <f>+Precios!AY55*Precios!AY$3</f>
        <v>0</v>
      </c>
      <c r="BD57" s="12">
        <f>+Precios!AZ55*Precios!AZ$3</f>
        <v>0</v>
      </c>
      <c r="BE57" s="12">
        <f>+Precios!BA55*Precios!BA$3</f>
        <v>0</v>
      </c>
      <c r="BF57" s="12">
        <f>+Precios!BB55*Precios!BB$3</f>
        <v>0</v>
      </c>
      <c r="BG57" s="12">
        <f>+Precios!BC55*Precios!BC$3</f>
        <v>0</v>
      </c>
      <c r="BH57" s="12">
        <f>+Precios!BD55*$BH$3</f>
        <v>0</v>
      </c>
      <c r="BI57" s="12">
        <f>+Precios!BE55*Precios!BE$3</f>
        <v>0</v>
      </c>
      <c r="BJ57" s="12">
        <f>+Precios!BF55*Precios!BF$3</f>
        <v>0</v>
      </c>
      <c r="BK57" s="12">
        <f>+Precios!BG55*Precios!BG$3</f>
        <v>0</v>
      </c>
      <c r="BL57" s="12">
        <f>+Precios!BH55*Precios!BH$3</f>
        <v>0</v>
      </c>
      <c r="BM57" s="12">
        <f>+Precios!BI55*Precios!BI$3</f>
        <v>0</v>
      </c>
      <c r="BN57" s="12">
        <f>+Precios!BJ55*$BN$3</f>
        <v>0</v>
      </c>
      <c r="BO57" s="12">
        <f>+Precios!BK55*$BO$3</f>
        <v>0</v>
      </c>
      <c r="BP57" s="12">
        <f>+Precios!BL55*Precios!BL$3</f>
        <v>0</v>
      </c>
    </row>
    <row r="58" spans="1:68" ht="15" thickBot="1">
      <c r="A58" s="5">
        <f>+SUM(F58:XFD58)</f>
        <v>0</v>
      </c>
      <c r="B58" s="26">
        <f>+TRACK!M24+TRACK!M25</f>
        <v>-6384.2899999999981</v>
      </c>
      <c r="C58" s="5">
        <f t="shared" si="0"/>
        <v>9482.8399999999965</v>
      </c>
      <c r="D58" s="5">
        <f>1000000+C58-Cost!A58</f>
        <v>1009482.84</v>
      </c>
      <c r="E58" s="15">
        <f>+Precios!A56</f>
        <v>46050</v>
      </c>
      <c r="F58" s="12">
        <f>+Precios!B56*Precios!B$3</f>
        <v>0</v>
      </c>
      <c r="G58" s="12">
        <f>+Precios!C56*Precios!C$3</f>
        <v>0</v>
      </c>
      <c r="H58" s="12">
        <f>+Precios!D56*Precios!D$3</f>
        <v>0</v>
      </c>
      <c r="I58" s="12">
        <f>+Precios!E56*Precios!E$3</f>
        <v>0</v>
      </c>
      <c r="J58" s="12">
        <f>+Precios!F56*Precios!F$3</f>
        <v>0</v>
      </c>
      <c r="K58" s="12">
        <f>+Precios!G56*Precios!G$3</f>
        <v>0</v>
      </c>
      <c r="L58" s="12">
        <f>+Precios!H56*Precios!H$3</f>
        <v>0</v>
      </c>
      <c r="M58" s="12">
        <f>+Precios!I56*Precios!I$3</f>
        <v>0</v>
      </c>
      <c r="N58" s="12">
        <f>+Precios!J56*Precios!J$3</f>
        <v>0</v>
      </c>
      <c r="O58" s="12">
        <f>+Precios!K56*Precios!K$3</f>
        <v>0</v>
      </c>
      <c r="P58" s="12">
        <f>+Precios!L56*Precios!L$3</f>
        <v>0</v>
      </c>
      <c r="Q58" s="12">
        <f>+Precios!M56*Precios!M$3</f>
        <v>0</v>
      </c>
      <c r="R58" s="12">
        <f>+Precios!N56*Precios!N$3</f>
        <v>0</v>
      </c>
      <c r="S58" s="12">
        <f>+Precios!O56*Precios!O$3</f>
        <v>0</v>
      </c>
      <c r="T58" s="12">
        <f>+Precios!P56*Precios!P$3</f>
        <v>0</v>
      </c>
      <c r="U58" s="12">
        <f>+Precios!Q56*Precios!Q$3</f>
        <v>0</v>
      </c>
      <c r="V58" s="12">
        <f>+Precios!R56*Precios!R$3</f>
        <v>0</v>
      </c>
      <c r="W58" s="12">
        <f>+Precios!S56*Precios!S$3</f>
        <v>0</v>
      </c>
      <c r="X58" s="12">
        <f>+Precios!T56*Precios!T$3</f>
        <v>0</v>
      </c>
      <c r="Y58" s="12">
        <f>+Precios!U56*Precios!U$3</f>
        <v>0</v>
      </c>
      <c r="Z58" s="12">
        <f>+Precios!V56*Precios!V$3</f>
        <v>0</v>
      </c>
      <c r="AA58" s="12">
        <f>+Precios!W56*Precios!W$3</f>
        <v>0</v>
      </c>
      <c r="AB58" s="12">
        <f>+Precios!X56*Precios!X$3</f>
        <v>0</v>
      </c>
      <c r="AC58" s="12">
        <f>+Precios!Y56*Precios!Y$3</f>
        <v>0</v>
      </c>
      <c r="AD58" s="12">
        <f>+Precios!Z56*Precios!Z$3</f>
        <v>0</v>
      </c>
      <c r="AE58" s="12">
        <f>+Precios!AA56*Precios!AA$3</f>
        <v>0</v>
      </c>
      <c r="AF58" s="12">
        <f>+Precios!AB56*Precios!AB$3</f>
        <v>0</v>
      </c>
      <c r="AG58" s="12">
        <f>+Precios!AC56*Precios!AC$3</f>
        <v>0</v>
      </c>
      <c r="AH58" s="12">
        <f>+Precios!AD56*Precios!AD$3</f>
        <v>0</v>
      </c>
      <c r="AI58" s="12">
        <f>+Precios!AE56*Precios!AE$3</f>
        <v>0</v>
      </c>
      <c r="AJ58" s="12">
        <f>+Precios!AF56*Precios!AF$3</f>
        <v>0</v>
      </c>
      <c r="AK58" s="12">
        <f>+Precios!AG56*Precios!AG$3</f>
        <v>0</v>
      </c>
      <c r="AL58" s="12">
        <f>+Precios!AH56*Precios!AH$3</f>
        <v>0</v>
      </c>
      <c r="AM58" s="12">
        <f>+Precios!AI56*Precios!AI$3</f>
        <v>0</v>
      </c>
      <c r="AN58" s="12">
        <f>+Precios!AJ56*Precios!AJ$3</f>
        <v>0</v>
      </c>
      <c r="AO58" s="12">
        <f>+Precios!AK56*Precios!AK$3</f>
        <v>0</v>
      </c>
      <c r="AP58" s="12">
        <f>+Precios!AL56*Precios!AL$3</f>
        <v>0</v>
      </c>
      <c r="AQ58" s="12">
        <f>+Precios!AM56*Precios!AM$3</f>
        <v>0</v>
      </c>
      <c r="AR58" s="12">
        <f>+Precios!AN56*Precios!AN$3</f>
        <v>0</v>
      </c>
      <c r="AS58" s="12">
        <f>+Precios!AO56*Precios!AO$3</f>
        <v>0</v>
      </c>
      <c r="AT58" s="12">
        <f>+Precios!AP56*Precios!AP$3</f>
        <v>0</v>
      </c>
      <c r="AU58" s="12">
        <f>+Precios!AQ56*Precios!AQ$3</f>
        <v>0</v>
      </c>
      <c r="AV58" s="12">
        <f>+Precios!AR56*Precios!AR$3</f>
        <v>0</v>
      </c>
      <c r="AW58" s="12">
        <f>+Precios!AS56*Precios!AS$3</f>
        <v>0</v>
      </c>
      <c r="AX58" s="12">
        <f>+Precios!AT56*Precios!AT$3</f>
        <v>0</v>
      </c>
      <c r="AY58" s="12">
        <f>+Precios!AU56*$AY$3</f>
        <v>0</v>
      </c>
      <c r="AZ58" s="12">
        <f>+Precios!AV56*Precios!AV$3</f>
        <v>0</v>
      </c>
      <c r="BA58" s="12">
        <f>+Precios!AW56*Precios!AW$3</f>
        <v>0</v>
      </c>
      <c r="BB58" s="12">
        <f>+Precios!AX56*Precios!AX$3</f>
        <v>0</v>
      </c>
      <c r="BC58" s="12">
        <f>+Precios!AY56*Precios!AY$3</f>
        <v>0</v>
      </c>
      <c r="BD58" s="12">
        <f>+Precios!AZ56*Precios!AZ$3</f>
        <v>0</v>
      </c>
      <c r="BE58" s="12">
        <f>+Precios!BA56*Precios!BA$3</f>
        <v>0</v>
      </c>
      <c r="BF58" s="12">
        <f>+Precios!BB56*Precios!BB$3</f>
        <v>0</v>
      </c>
      <c r="BG58" s="12">
        <f>+Precios!BC56*Precios!BC$3</f>
        <v>0</v>
      </c>
      <c r="BH58" s="12">
        <f>+Precios!BD56*$BH$3</f>
        <v>0</v>
      </c>
      <c r="BI58" s="12">
        <f>+Precios!BE56*Precios!BE$3</f>
        <v>0</v>
      </c>
      <c r="BJ58" s="12">
        <f>+Precios!BF56*Precios!BF$3</f>
        <v>0</v>
      </c>
      <c r="BK58" s="12">
        <f>+Precios!BG56*Precios!BG$3</f>
        <v>0</v>
      </c>
      <c r="BL58" s="12">
        <f>+Precios!BH56*Precios!BH$3</f>
        <v>0</v>
      </c>
      <c r="BM58" s="12">
        <f>+Precios!BI56*Precios!BI$3</f>
        <v>0</v>
      </c>
      <c r="BN58" s="12">
        <f>+Precios!BJ56*$BN$3</f>
        <v>0</v>
      </c>
      <c r="BO58" s="12">
        <f>+Precios!BK56*$BO$3</f>
        <v>0</v>
      </c>
      <c r="BP58" s="12">
        <f>+Precios!BL56*Precios!BL$3</f>
        <v>0</v>
      </c>
    </row>
    <row r="59" spans="1:68" ht="15" thickBot="1">
      <c r="A59" s="5">
        <f>+SUM(F59:XFD59)</f>
        <v>0</v>
      </c>
      <c r="B59" s="26"/>
      <c r="C59" s="5">
        <f t="shared" si="0"/>
        <v>9482.8399999999965</v>
      </c>
      <c r="D59" s="5">
        <f>1000000+C59-Cost!A59</f>
        <v>1009482.84</v>
      </c>
      <c r="E59" s="15">
        <f>+Precios!A57</f>
        <v>46051</v>
      </c>
      <c r="F59" s="12">
        <f>+Precios!B57*Precios!B$3</f>
        <v>0</v>
      </c>
      <c r="G59" s="12">
        <f>+Precios!C57*Precios!C$3</f>
        <v>0</v>
      </c>
      <c r="H59" s="12">
        <f>+Precios!D57*Precios!D$3</f>
        <v>0</v>
      </c>
      <c r="I59" s="12">
        <f>+Precios!E57*Precios!E$3</f>
        <v>0</v>
      </c>
      <c r="J59" s="12">
        <f>+Precios!F57*Precios!F$3</f>
        <v>0</v>
      </c>
      <c r="K59" s="12">
        <f>+Precios!G57*Precios!G$3</f>
        <v>0</v>
      </c>
      <c r="L59" s="12">
        <f>+Precios!H57*Precios!H$3</f>
        <v>0</v>
      </c>
      <c r="M59" s="12">
        <f>+Precios!I57*Precios!I$3</f>
        <v>0</v>
      </c>
      <c r="N59" s="12">
        <f>+Precios!J57*Precios!J$3</f>
        <v>0</v>
      </c>
      <c r="O59" s="12">
        <f>+Precios!K57*Precios!K$3</f>
        <v>0</v>
      </c>
      <c r="P59" s="12">
        <f>+Precios!L57*Precios!L$3</f>
        <v>0</v>
      </c>
      <c r="Q59" s="12">
        <f>+Precios!M57*Precios!M$3</f>
        <v>0</v>
      </c>
      <c r="R59" s="12">
        <f>+Precios!N57*Precios!N$3</f>
        <v>0</v>
      </c>
      <c r="S59" s="12">
        <f>+Precios!O57*Precios!O$3</f>
        <v>0</v>
      </c>
      <c r="T59" s="12">
        <f>+Precios!P57*Precios!P$3</f>
        <v>0</v>
      </c>
      <c r="U59" s="12">
        <f>+Precios!Q57*Precios!Q$3</f>
        <v>0</v>
      </c>
      <c r="V59" s="12">
        <f>+Precios!R57*Precios!R$3</f>
        <v>0</v>
      </c>
      <c r="W59" s="12">
        <f>+Precios!S57*Precios!S$3</f>
        <v>0</v>
      </c>
      <c r="X59" s="12">
        <f>+Precios!T57*Precios!T$3</f>
        <v>0</v>
      </c>
      <c r="Y59" s="12">
        <f>+Precios!U57*Precios!U$3</f>
        <v>0</v>
      </c>
      <c r="Z59" s="12">
        <f>+Precios!V57*Precios!V$3</f>
        <v>0</v>
      </c>
      <c r="AA59" s="12">
        <f>+Precios!W57*Precios!W$3</f>
        <v>0</v>
      </c>
      <c r="AB59" s="12">
        <f>+Precios!X57*Precios!X$3</f>
        <v>0</v>
      </c>
      <c r="AC59" s="12">
        <f>+Precios!Y57*Precios!Y$3</f>
        <v>0</v>
      </c>
      <c r="AD59" s="12">
        <f>+Precios!Z57*Precios!Z$3</f>
        <v>0</v>
      </c>
      <c r="AE59" s="12">
        <f>+Precios!AA57*Precios!AA$3</f>
        <v>0</v>
      </c>
      <c r="AF59" s="12">
        <f>+Precios!AB57*Precios!AB$3</f>
        <v>0</v>
      </c>
      <c r="AG59" s="12">
        <f>+Precios!AC57*Precios!AC$3</f>
        <v>0</v>
      </c>
      <c r="AH59" s="12">
        <f>+Precios!AD57*Precios!AD$3</f>
        <v>0</v>
      </c>
      <c r="AI59" s="12">
        <f>+Precios!AE57*Precios!AE$3</f>
        <v>0</v>
      </c>
      <c r="AJ59" s="12">
        <f>+Precios!AF57*Precios!AF$3</f>
        <v>0</v>
      </c>
      <c r="AK59" s="12">
        <f>+Precios!AG57*Precios!AG$3</f>
        <v>0</v>
      </c>
      <c r="AL59" s="12">
        <f>+Precios!AH57*Precios!AH$3</f>
        <v>0</v>
      </c>
      <c r="AM59" s="12">
        <f>+Precios!AI57*Precios!AI$3</f>
        <v>0</v>
      </c>
      <c r="AN59" s="12">
        <f>+Precios!AJ57*Precios!AJ$3</f>
        <v>0</v>
      </c>
      <c r="AO59" s="12">
        <f>+Precios!AK57*Precios!AK$3</f>
        <v>0</v>
      </c>
      <c r="AP59" s="12">
        <f>+Precios!AL57*Precios!AL$3</f>
        <v>0</v>
      </c>
      <c r="AQ59" s="12">
        <f>+Precios!AM57*Precios!AM$3</f>
        <v>0</v>
      </c>
      <c r="AR59" s="12">
        <f>+Precios!AN57*Precios!AN$3</f>
        <v>0</v>
      </c>
      <c r="AS59" s="12">
        <f>+Precios!AO57*Precios!AO$3</f>
        <v>0</v>
      </c>
      <c r="AT59" s="12">
        <f>+Precios!AP57*Precios!AP$3</f>
        <v>0</v>
      </c>
      <c r="AU59" s="12">
        <f>+Precios!AQ57*Precios!AQ$3</f>
        <v>0</v>
      </c>
      <c r="AV59" s="12">
        <f>+Precios!AR57*Precios!AR$3</f>
        <v>0</v>
      </c>
      <c r="AW59" s="12">
        <f>+Precios!AS57*Precios!AS$3</f>
        <v>0</v>
      </c>
      <c r="AX59" s="12">
        <f>+Precios!AT57*Precios!AT$3</f>
        <v>0</v>
      </c>
      <c r="AY59" s="12">
        <f>+Precios!AU57*$AY$3</f>
        <v>0</v>
      </c>
      <c r="AZ59" s="12">
        <f>+Precios!AV57*Precios!AV$3</f>
        <v>0</v>
      </c>
      <c r="BA59" s="12">
        <f>+Precios!AW57*Precios!AW$3</f>
        <v>0</v>
      </c>
      <c r="BB59" s="12">
        <f>+Precios!AX57*Precios!AX$3</f>
        <v>0</v>
      </c>
      <c r="BC59" s="12">
        <f>+Precios!AY57*Precios!AY$3</f>
        <v>0</v>
      </c>
      <c r="BD59" s="12">
        <f>+Precios!AZ57*Precios!AZ$3</f>
        <v>0</v>
      </c>
      <c r="BE59" s="12">
        <f>+Precios!BA57*Precios!BA$3</f>
        <v>0</v>
      </c>
      <c r="BF59" s="12">
        <f>+Precios!BB57*Precios!BB$3</f>
        <v>0</v>
      </c>
      <c r="BG59" s="12">
        <f>+Precios!BC57*Precios!BC$3</f>
        <v>0</v>
      </c>
      <c r="BH59" s="12">
        <f>+Precios!BD57*$BH$3</f>
        <v>0</v>
      </c>
      <c r="BI59" s="12">
        <f>+Precios!BE57*Precios!BE$3</f>
        <v>0</v>
      </c>
      <c r="BJ59" s="12">
        <f>+Precios!BF57*Precios!BF$3</f>
        <v>0</v>
      </c>
      <c r="BK59" s="12">
        <f>+Precios!BG57*Precios!BG$3</f>
        <v>0</v>
      </c>
      <c r="BL59" s="12">
        <f>+Precios!BH57*Precios!BH$3</f>
        <v>0</v>
      </c>
      <c r="BM59" s="12">
        <f>+Precios!BI57*Precios!BI$3</f>
        <v>0</v>
      </c>
      <c r="BN59" s="12">
        <f>+Precios!BJ57*$BN$3</f>
        <v>0</v>
      </c>
      <c r="BO59" s="12">
        <f>+Precios!BK57*$BO$3</f>
        <v>0</v>
      </c>
      <c r="BP59" s="12">
        <f>+Precios!BL57*Precios!BL$3</f>
        <v>0</v>
      </c>
    </row>
    <row r="60" spans="1:68" ht="15" thickBot="1">
      <c r="A60" s="5">
        <f>+SUM(F60:XFD60)</f>
        <v>0</v>
      </c>
      <c r="B60" s="26">
        <f>+TRACK!M26+TRACK!M27</f>
        <v>2400.3400000000065</v>
      </c>
      <c r="C60" s="5">
        <f t="shared" si="0"/>
        <v>11883.180000000004</v>
      </c>
      <c r="D60" s="5">
        <f>1000000+C60-Cost!A60</f>
        <v>1011883.18</v>
      </c>
      <c r="E60" s="15">
        <f>+Precios!A58</f>
        <v>46052</v>
      </c>
      <c r="F60" s="12">
        <f>+Precios!B58*Precios!B$3</f>
        <v>0</v>
      </c>
      <c r="G60" s="12">
        <f>+Precios!C58*Precios!C$3</f>
        <v>0</v>
      </c>
      <c r="H60" s="12">
        <f>+Precios!D58*Precios!D$3</f>
        <v>0</v>
      </c>
      <c r="I60" s="12">
        <f>+Precios!E58*Precios!E$3</f>
        <v>0</v>
      </c>
      <c r="J60" s="12">
        <f>+Precios!F58*Precios!F$3</f>
        <v>0</v>
      </c>
      <c r="K60" s="12">
        <f>+Precios!G58*Precios!G$3</f>
        <v>0</v>
      </c>
      <c r="L60" s="12">
        <f>+Precios!H58*Precios!H$3</f>
        <v>0</v>
      </c>
      <c r="M60" s="12">
        <f>+Precios!I58*Precios!I$3</f>
        <v>0</v>
      </c>
      <c r="N60" s="12">
        <f>+Precios!J58*Precios!J$3</f>
        <v>0</v>
      </c>
      <c r="O60" s="12">
        <f>+Precios!K58*Precios!K$3</f>
        <v>0</v>
      </c>
      <c r="P60" s="12">
        <f>+Precios!L58*Precios!L$3</f>
        <v>0</v>
      </c>
      <c r="Q60" s="12">
        <f>+Precios!M58*Precios!M$3</f>
        <v>0</v>
      </c>
      <c r="R60" s="12">
        <f>+Precios!N58*Precios!N$3</f>
        <v>0</v>
      </c>
      <c r="S60" s="12">
        <f>+Precios!O58*Precios!O$3</f>
        <v>0</v>
      </c>
      <c r="T60" s="12">
        <f>+Precios!P58*Precios!P$3</f>
        <v>0</v>
      </c>
      <c r="U60" s="12">
        <f>+Precios!Q58*Precios!Q$3</f>
        <v>0</v>
      </c>
      <c r="V60" s="12">
        <f>+Precios!R58*Precios!R$3</f>
        <v>0</v>
      </c>
      <c r="W60" s="12">
        <f>+Precios!S58*Precios!S$3</f>
        <v>0</v>
      </c>
      <c r="X60" s="12">
        <f>+Precios!T58*Precios!T$3</f>
        <v>0</v>
      </c>
      <c r="Y60" s="12">
        <f>+Precios!U58*Precios!U$3</f>
        <v>0</v>
      </c>
      <c r="Z60" s="12">
        <f>+Precios!V58*Precios!V$3</f>
        <v>0</v>
      </c>
      <c r="AA60" s="12">
        <f>+Precios!W58*Precios!W$3</f>
        <v>0</v>
      </c>
      <c r="AB60" s="12">
        <f>+Precios!X58*Precios!X$3</f>
        <v>0</v>
      </c>
      <c r="AC60" s="12">
        <f>+Precios!Y58*Precios!Y$3</f>
        <v>0</v>
      </c>
      <c r="AD60" s="12">
        <f>+Precios!Z58*Precios!Z$3</f>
        <v>0</v>
      </c>
      <c r="AE60" s="12">
        <f>+Precios!AA58*Precios!AA$3</f>
        <v>0</v>
      </c>
      <c r="AF60" s="12">
        <f>+Precios!AB58*Precios!AB$3</f>
        <v>0</v>
      </c>
      <c r="AG60" s="12">
        <f>+Precios!AC58*Precios!AC$3</f>
        <v>0</v>
      </c>
      <c r="AH60" s="12">
        <f>+Precios!AD58*Precios!AD$3</f>
        <v>0</v>
      </c>
      <c r="AI60" s="12">
        <f>+Precios!AE58*Precios!AE$3</f>
        <v>0</v>
      </c>
      <c r="AJ60" s="12">
        <f>+Precios!AF58*Precios!AF$3</f>
        <v>0</v>
      </c>
      <c r="AK60" s="12">
        <f>+Precios!AG58*Precios!AG$3</f>
        <v>0</v>
      </c>
      <c r="AL60" s="12">
        <f>+Precios!AH58*Precios!AH$3</f>
        <v>0</v>
      </c>
      <c r="AM60" s="12">
        <f>+Precios!AI58*Precios!AI$3</f>
        <v>0</v>
      </c>
      <c r="AN60" s="12">
        <f>+Precios!AJ58*Precios!AJ$3</f>
        <v>0</v>
      </c>
      <c r="AO60" s="12">
        <f>+Precios!AK58*Precios!AK$3</f>
        <v>0</v>
      </c>
      <c r="AP60" s="12">
        <f>+Precios!AL58*Precios!AL$3</f>
        <v>0</v>
      </c>
      <c r="AQ60" s="12">
        <f>+Precios!AM58*Precios!AM$3</f>
        <v>0</v>
      </c>
      <c r="AR60" s="12">
        <f>+Precios!AN58*Precios!AN$3</f>
        <v>0</v>
      </c>
      <c r="AS60" s="12">
        <f>+Precios!AO58*Precios!AO$3</f>
        <v>0</v>
      </c>
      <c r="AT60" s="12">
        <f>+Precios!AP58*Precios!AP$3</f>
        <v>0</v>
      </c>
      <c r="AU60" s="12">
        <f>+Precios!AQ58*Precios!AQ$3</f>
        <v>0</v>
      </c>
      <c r="AV60" s="12">
        <f>+Precios!AR58*Precios!AR$3</f>
        <v>0</v>
      </c>
      <c r="AW60" s="12">
        <f>+Precios!AS58*Precios!AS$3</f>
        <v>0</v>
      </c>
      <c r="AX60" s="12">
        <f>+Precios!AT58*Precios!AT$3</f>
        <v>0</v>
      </c>
      <c r="AY60" s="12">
        <f>+Precios!AU58*$AY$3</f>
        <v>0</v>
      </c>
      <c r="AZ60" s="12">
        <f>+Precios!AV58*Precios!AV$3</f>
        <v>0</v>
      </c>
      <c r="BA60" s="12">
        <f>+Precios!AW58*Precios!AW$3</f>
        <v>0</v>
      </c>
      <c r="BB60" s="12">
        <f>+Precios!AX58*Precios!AX$3</f>
        <v>0</v>
      </c>
      <c r="BC60" s="12">
        <f>+Precios!AY58*Precios!AY$3</f>
        <v>0</v>
      </c>
      <c r="BD60" s="12">
        <f>+Precios!AZ58*Precios!AZ$3</f>
        <v>0</v>
      </c>
      <c r="BE60" s="12">
        <f>+Precios!BA58*Precios!BA$3</f>
        <v>0</v>
      </c>
      <c r="BF60" s="12">
        <f>+Precios!BB58*Precios!BB$3</f>
        <v>0</v>
      </c>
      <c r="BG60" s="12">
        <f>+Precios!BC58*Precios!BC$3</f>
        <v>0</v>
      </c>
      <c r="BH60" s="12">
        <f>+Precios!BD58*$BH$3</f>
        <v>0</v>
      </c>
      <c r="BI60" s="12">
        <f>+Precios!BE58*Precios!BE$3</f>
        <v>0</v>
      </c>
      <c r="BJ60" s="12">
        <f>+Precios!BF58*Precios!BF$3</f>
        <v>0</v>
      </c>
      <c r="BK60" s="12">
        <f>+Precios!BG58*Precios!BG$3</f>
        <v>0</v>
      </c>
      <c r="BL60" s="12">
        <f>+Precios!BH58*Precios!BH$3</f>
        <v>0</v>
      </c>
      <c r="BM60" s="12">
        <f>+Precios!BI58*Precios!BI$3</f>
        <v>0</v>
      </c>
      <c r="BN60" s="12">
        <f>+Precios!BJ58*$BN$3</f>
        <v>0</v>
      </c>
      <c r="BO60" s="12">
        <f>+Precios!BK58*$BO$3</f>
        <v>0</v>
      </c>
      <c r="BP60" s="12">
        <f>+Precios!BL58*Precios!BL$3</f>
        <v>0</v>
      </c>
    </row>
    <row r="61" spans="1:68" ht="15" thickBot="1">
      <c r="A61" s="5">
        <f>+SUM(F61:XFD61)</f>
        <v>0</v>
      </c>
      <c r="B61" s="26"/>
      <c r="C61" s="5">
        <f t="shared" si="0"/>
        <v>11883.180000000004</v>
      </c>
      <c r="D61" s="5">
        <f>1000000+C61-Cost!A61</f>
        <v>1011883.18</v>
      </c>
      <c r="E61" s="15">
        <f>+Precios!A59</f>
        <v>46055</v>
      </c>
      <c r="F61" s="12">
        <f>+Precios!B59*Precios!B$3</f>
        <v>0</v>
      </c>
      <c r="G61" s="12">
        <f>+Precios!C59*Precios!C$3</f>
        <v>0</v>
      </c>
      <c r="H61" s="12">
        <f>+Precios!D59*Precios!D$3</f>
        <v>0</v>
      </c>
      <c r="I61" s="12">
        <f>+Precios!E59*Precios!E$3</f>
        <v>0</v>
      </c>
      <c r="J61" s="12">
        <f>+Precios!F59*Precios!F$3</f>
        <v>0</v>
      </c>
      <c r="K61" s="12">
        <f>+Precios!G59*Precios!G$3</f>
        <v>0</v>
      </c>
      <c r="L61" s="12">
        <f>+Precios!H59*Precios!H$3</f>
        <v>0</v>
      </c>
      <c r="M61" s="12">
        <f>+Precios!I59*Precios!I$3</f>
        <v>0</v>
      </c>
      <c r="N61" s="12">
        <f>+Precios!J59*Precios!J$3</f>
        <v>0</v>
      </c>
      <c r="O61" s="12">
        <f>+Precios!K59*Precios!K$3</f>
        <v>0</v>
      </c>
      <c r="P61" s="12">
        <f>+Precios!L59*Precios!L$3</f>
        <v>0</v>
      </c>
      <c r="Q61" s="12">
        <f>+Precios!M59*Precios!M$3</f>
        <v>0</v>
      </c>
      <c r="R61" s="12">
        <f>+Precios!N59*Precios!N$3</f>
        <v>0</v>
      </c>
      <c r="S61" s="12">
        <f>+Precios!O59*Precios!O$3</f>
        <v>0</v>
      </c>
      <c r="T61" s="12">
        <f>+Precios!P59*Precios!P$3</f>
        <v>0</v>
      </c>
      <c r="U61" s="12">
        <f>+Precios!Q59*Precios!Q$3</f>
        <v>0</v>
      </c>
      <c r="V61" s="12">
        <f>+Precios!R59*Precios!R$3</f>
        <v>0</v>
      </c>
      <c r="W61" s="12">
        <f>+Precios!S59*Precios!S$3</f>
        <v>0</v>
      </c>
      <c r="X61" s="12">
        <f>+Precios!T59*Precios!T$3</f>
        <v>0</v>
      </c>
      <c r="Y61" s="12">
        <f>+Precios!U59*Precios!U$3</f>
        <v>0</v>
      </c>
      <c r="Z61" s="12">
        <f>+Precios!V59*Precios!V$3</f>
        <v>0</v>
      </c>
      <c r="AA61" s="12">
        <f>+Precios!W59*Precios!W$3</f>
        <v>0</v>
      </c>
      <c r="AB61" s="12">
        <f>+Precios!X59*Precios!X$3</f>
        <v>0</v>
      </c>
      <c r="AC61" s="12">
        <f>+Precios!Y59*Precios!Y$3</f>
        <v>0</v>
      </c>
      <c r="AD61" s="12">
        <f>+Precios!Z59*Precios!Z$3</f>
        <v>0</v>
      </c>
      <c r="AE61" s="12">
        <f>+Precios!AA59*Precios!AA$3</f>
        <v>0</v>
      </c>
      <c r="AF61" s="12">
        <f>+Precios!AB59*Precios!AB$3</f>
        <v>0</v>
      </c>
      <c r="AG61" s="12">
        <f>+Precios!AC59*Precios!AC$3</f>
        <v>0</v>
      </c>
      <c r="AH61" s="12">
        <f>+Precios!AD59*Precios!AD$3</f>
        <v>0</v>
      </c>
      <c r="AI61" s="12">
        <f>+Precios!AE59*Precios!AE$3</f>
        <v>0</v>
      </c>
      <c r="AJ61" s="12">
        <f>+Precios!AF59*Precios!AF$3</f>
        <v>0</v>
      </c>
      <c r="AK61" s="12">
        <f>+Precios!AG59*Precios!AG$3</f>
        <v>0</v>
      </c>
      <c r="AL61" s="12">
        <f>+Precios!AH59*Precios!AH$3</f>
        <v>0</v>
      </c>
      <c r="AM61" s="12">
        <f>+Precios!AI59*Precios!AI$3</f>
        <v>0</v>
      </c>
      <c r="AN61" s="12">
        <f>+Precios!AJ59*Precios!AJ$3</f>
        <v>0</v>
      </c>
      <c r="AO61" s="12">
        <f>+Precios!AK59*Precios!AK$3</f>
        <v>0</v>
      </c>
      <c r="AP61" s="12">
        <f>+Precios!AL59*Precios!AL$3</f>
        <v>0</v>
      </c>
      <c r="AQ61" s="12">
        <f>+Precios!AM59*Precios!AM$3</f>
        <v>0</v>
      </c>
      <c r="AR61" s="12">
        <f>+Precios!AN59*Precios!AN$3</f>
        <v>0</v>
      </c>
      <c r="AS61" s="12">
        <f>+Precios!AO59*Precios!AO$3</f>
        <v>0</v>
      </c>
      <c r="AT61" s="12">
        <f>+Precios!AP59*Precios!AP$3</f>
        <v>0</v>
      </c>
      <c r="AU61" s="12">
        <f>+Precios!AQ59*Precios!AQ$3</f>
        <v>0</v>
      </c>
      <c r="AV61" s="12">
        <f>+Precios!AR59*Precios!AR$3</f>
        <v>0</v>
      </c>
      <c r="AW61" s="12">
        <f>+Precios!AS59*Precios!AS$3</f>
        <v>0</v>
      </c>
      <c r="AX61" s="12">
        <f>+Precios!AT59*Precios!AT$3</f>
        <v>0</v>
      </c>
      <c r="AY61" s="12">
        <f>+Precios!AU59*$AY$3</f>
        <v>0</v>
      </c>
      <c r="AZ61" s="12">
        <f>+Precios!AV59*Precios!AV$3</f>
        <v>0</v>
      </c>
      <c r="BA61" s="12">
        <f>+Precios!AW59*Precios!AW$3</f>
        <v>0</v>
      </c>
      <c r="BB61" s="12">
        <f>+Precios!AX59*Precios!AX$3</f>
        <v>0</v>
      </c>
      <c r="BC61" s="12">
        <f>+Precios!AY59*Precios!AY$3</f>
        <v>0</v>
      </c>
      <c r="BD61" s="12">
        <f>+Precios!AZ59*Precios!AZ$3</f>
        <v>0</v>
      </c>
      <c r="BE61" s="12">
        <f>+Precios!BA59*Precios!BA$3</f>
        <v>0</v>
      </c>
      <c r="BF61" s="12">
        <f>+Precios!BB59*Precios!BB$3</f>
        <v>0</v>
      </c>
      <c r="BG61" s="12">
        <f>+Precios!BC59*Precios!BC$3</f>
        <v>0</v>
      </c>
      <c r="BH61" s="12">
        <f>+Precios!BD59*$BH$3</f>
        <v>0</v>
      </c>
      <c r="BI61" s="12">
        <f>+Precios!BE59*Precios!BE$3</f>
        <v>0</v>
      </c>
      <c r="BJ61" s="12">
        <f>+Precios!BF59*Precios!BF$3</f>
        <v>0</v>
      </c>
      <c r="BK61" s="12">
        <f>+Precios!BG59*Precios!BG$3</f>
        <v>0</v>
      </c>
      <c r="BL61" s="12">
        <f>+Precios!BH59*Precios!BH$3</f>
        <v>0</v>
      </c>
      <c r="BM61" s="12">
        <f>+Precios!BI59*Precios!BI$3</f>
        <v>0</v>
      </c>
      <c r="BN61" s="12">
        <f>+Precios!BJ59*$BN$3</f>
        <v>0</v>
      </c>
      <c r="BO61" s="12">
        <f>+Precios!BK59*$BO$3</f>
        <v>0</v>
      </c>
      <c r="BP61" s="12">
        <f>+Precios!BL59*Precios!BL$3</f>
        <v>0</v>
      </c>
    </row>
    <row r="62" spans="1:68" ht="15" thickBot="1">
      <c r="A62" s="5">
        <f>+SUM(F62:XFD62)</f>
        <v>0</v>
      </c>
      <c r="B62" s="26"/>
      <c r="C62" s="5">
        <f t="shared" si="0"/>
        <v>11883.180000000004</v>
      </c>
      <c r="D62" s="5">
        <f>1000000+C62-Cost!A62</f>
        <v>1011883.18</v>
      </c>
      <c r="E62" s="15">
        <f>+Precios!A60</f>
        <v>46056</v>
      </c>
      <c r="F62" s="12">
        <f>+Precios!B60*Precios!B$3</f>
        <v>0</v>
      </c>
      <c r="G62" s="12">
        <f>+Precios!C60*Precios!C$3</f>
        <v>0</v>
      </c>
      <c r="H62" s="12">
        <f>+Precios!D60*Precios!D$3</f>
        <v>0</v>
      </c>
      <c r="I62" s="12">
        <f>+Precios!E60*Precios!E$3</f>
        <v>0</v>
      </c>
      <c r="J62" s="12">
        <f>+Precios!F60*Precios!F$3</f>
        <v>0</v>
      </c>
      <c r="K62" s="12">
        <f>+Precios!G60*Precios!G$3</f>
        <v>0</v>
      </c>
      <c r="L62" s="12">
        <f>+Precios!H60*Precios!H$3</f>
        <v>0</v>
      </c>
      <c r="M62" s="12">
        <f>+Precios!I60*Precios!I$3</f>
        <v>0</v>
      </c>
      <c r="N62" s="12">
        <f>+Precios!J60*Precios!J$3</f>
        <v>0</v>
      </c>
      <c r="O62" s="12">
        <f>+Precios!K60*Precios!K$3</f>
        <v>0</v>
      </c>
      <c r="P62" s="12">
        <f>+Precios!L60*Precios!L$3</f>
        <v>0</v>
      </c>
      <c r="Q62" s="12">
        <f>+Precios!M60*Precios!M$3</f>
        <v>0</v>
      </c>
      <c r="R62" s="12">
        <f>+Precios!N60*Precios!N$3</f>
        <v>0</v>
      </c>
      <c r="S62" s="12">
        <f>+Precios!O60*Precios!O$3</f>
        <v>0</v>
      </c>
      <c r="T62" s="12">
        <f>+Precios!P60*Precios!P$3</f>
        <v>0</v>
      </c>
      <c r="U62" s="12">
        <f>+Precios!Q60*Precios!Q$3</f>
        <v>0</v>
      </c>
      <c r="V62" s="12">
        <f>+Precios!R60*Precios!R$3</f>
        <v>0</v>
      </c>
      <c r="W62" s="12">
        <f>+Precios!S60*Precios!S$3</f>
        <v>0</v>
      </c>
      <c r="X62" s="12">
        <f>+Precios!T60*Precios!T$3</f>
        <v>0</v>
      </c>
      <c r="Y62" s="12">
        <f>+Precios!U60*Precios!U$3</f>
        <v>0</v>
      </c>
      <c r="Z62" s="12">
        <f>+Precios!V60*Precios!V$3</f>
        <v>0</v>
      </c>
      <c r="AA62" s="12">
        <f>+Precios!W60*Precios!W$3</f>
        <v>0</v>
      </c>
      <c r="AB62" s="12">
        <f>+Precios!X60*Precios!X$3</f>
        <v>0</v>
      </c>
      <c r="AC62" s="12">
        <f>+Precios!Y60*Precios!Y$3</f>
        <v>0</v>
      </c>
      <c r="AD62" s="12">
        <f>+Precios!Z60*Precios!Z$3</f>
        <v>0</v>
      </c>
      <c r="AE62" s="12">
        <f>+Precios!AA60*Precios!AA$3</f>
        <v>0</v>
      </c>
      <c r="AF62" s="12">
        <f>+Precios!AB60*Precios!AB$3</f>
        <v>0</v>
      </c>
      <c r="AG62" s="12">
        <f>+Precios!AC60*Precios!AC$3</f>
        <v>0</v>
      </c>
      <c r="AH62" s="12">
        <f>+Precios!AD60*Precios!AD$3</f>
        <v>0</v>
      </c>
      <c r="AI62" s="12">
        <f>+Precios!AE60*Precios!AE$3</f>
        <v>0</v>
      </c>
      <c r="AJ62" s="12">
        <f>+Precios!AF60*Precios!AF$3</f>
        <v>0</v>
      </c>
      <c r="AK62" s="12">
        <f>+Precios!AG60*Precios!AG$3</f>
        <v>0</v>
      </c>
      <c r="AL62" s="12">
        <f>+Precios!AH60*Precios!AH$3</f>
        <v>0</v>
      </c>
      <c r="AM62" s="12">
        <f>+Precios!AI60*Precios!AI$3</f>
        <v>0</v>
      </c>
      <c r="AN62" s="12">
        <f>+Precios!AJ60*Precios!AJ$3</f>
        <v>0</v>
      </c>
      <c r="AO62" s="12">
        <f>+Precios!AK60*Precios!AK$3</f>
        <v>0</v>
      </c>
      <c r="AP62" s="12">
        <f>+Precios!AL60*Precios!AL$3</f>
        <v>0</v>
      </c>
      <c r="AQ62" s="12">
        <f>+Precios!AM60*Precios!AM$3</f>
        <v>0</v>
      </c>
      <c r="AR62" s="12">
        <f>+Precios!AN60*Precios!AN$3</f>
        <v>0</v>
      </c>
      <c r="AS62" s="12">
        <f>+Precios!AO60*Precios!AO$3</f>
        <v>0</v>
      </c>
      <c r="AT62" s="12">
        <f>+Precios!AP60*Precios!AP$3</f>
        <v>0</v>
      </c>
      <c r="AU62" s="12">
        <f>+Precios!AQ60*Precios!AQ$3</f>
        <v>0</v>
      </c>
      <c r="AV62" s="12">
        <f>+Precios!AR60*Precios!AR$3</f>
        <v>0</v>
      </c>
      <c r="AW62" s="12">
        <f>+Precios!AS60*Precios!AS$3</f>
        <v>0</v>
      </c>
      <c r="AX62" s="12">
        <f>+Precios!AT60*Precios!AT$3</f>
        <v>0</v>
      </c>
      <c r="AY62" s="12">
        <f>+Precios!AU60*$AY$3</f>
        <v>0</v>
      </c>
      <c r="AZ62" s="12">
        <f>+Precios!AV60*Precios!AV$3</f>
        <v>0</v>
      </c>
      <c r="BA62" s="12">
        <f>+Precios!AW60*Precios!AW$3</f>
        <v>0</v>
      </c>
      <c r="BB62" s="12">
        <f>+Precios!AX60*Precios!AX$3</f>
        <v>0</v>
      </c>
      <c r="BC62" s="12">
        <f>+Precios!AY60*Precios!AY$3</f>
        <v>0</v>
      </c>
      <c r="BD62" s="12">
        <f>+Precios!AZ60*Precios!AZ$3</f>
        <v>0</v>
      </c>
      <c r="BE62" s="12">
        <f>+Precios!BA60*Precios!BA$3</f>
        <v>0</v>
      </c>
      <c r="BF62" s="12">
        <f>+Precios!BB60*Precios!BB$3</f>
        <v>0</v>
      </c>
      <c r="BG62" s="12">
        <f>+Precios!BC60*Precios!BC$3</f>
        <v>0</v>
      </c>
      <c r="BH62" s="12">
        <f>+Precios!BD60*$BH$3</f>
        <v>0</v>
      </c>
      <c r="BI62" s="12">
        <f>+Precios!BE60*Precios!BE$3</f>
        <v>0</v>
      </c>
      <c r="BJ62" s="12">
        <f>+Precios!BF60*Precios!BF$3</f>
        <v>0</v>
      </c>
      <c r="BK62" s="12">
        <f>+Precios!BG60*Precios!BG$3</f>
        <v>0</v>
      </c>
      <c r="BL62" s="12">
        <f>+Precios!BH60*Precios!BH$3</f>
        <v>0</v>
      </c>
      <c r="BM62" s="12">
        <f>+Precios!BI60*Precios!BI$3</f>
        <v>0</v>
      </c>
      <c r="BN62" s="12">
        <f>+Precios!BJ60*$BN$3</f>
        <v>0</v>
      </c>
      <c r="BO62" s="12">
        <f>+Precios!BK60*$BO$3</f>
        <v>0</v>
      </c>
      <c r="BP62" s="12">
        <f>+Precios!BL60*Precios!BL$3</f>
        <v>0</v>
      </c>
    </row>
    <row r="63" spans="1:68" ht="15" thickBot="1">
      <c r="A63" s="5">
        <f>+SUM(F63:XFD63)</f>
        <v>0</v>
      </c>
      <c r="B63" s="26">
        <f>+TRACK!M28+TRACK!M29+TRACK!M30+TRACK!M31+TRACK!M32+TRACK!M33+TRACK!M34+TRACK!M35+TRACK!M36+TRACK!M37+TRACK!M38+TRACK!M39</f>
        <v>57718.599999999991</v>
      </c>
      <c r="C63" s="5">
        <f t="shared" si="0"/>
        <v>69601.78</v>
      </c>
      <c r="D63" s="5">
        <f>1000000+C63-Cost!A63</f>
        <v>1069601.78</v>
      </c>
      <c r="E63" s="15">
        <f>+Precios!A61</f>
        <v>46057</v>
      </c>
      <c r="F63" s="12">
        <f>+Precios!B61*Precios!B$3</f>
        <v>0</v>
      </c>
      <c r="G63" s="12">
        <f>+Precios!C61*Precios!C$3</f>
        <v>0</v>
      </c>
      <c r="H63" s="12">
        <f>+Precios!D61*Precios!D$3</f>
        <v>0</v>
      </c>
      <c r="I63" s="12">
        <f>+Precios!E61*Precios!E$3</f>
        <v>0</v>
      </c>
      <c r="J63" s="12">
        <f>+Precios!F61*Precios!F$3</f>
        <v>0</v>
      </c>
      <c r="K63" s="12">
        <f>+Precios!G61*Precios!G$3</f>
        <v>0</v>
      </c>
      <c r="L63" s="12">
        <f>+Precios!H61*Precios!H$3</f>
        <v>0</v>
      </c>
      <c r="M63" s="12">
        <f>+Precios!I61*Precios!I$3</f>
        <v>0</v>
      </c>
      <c r="N63" s="12">
        <f>+Precios!J61*Precios!J$3</f>
        <v>0</v>
      </c>
      <c r="O63" s="12">
        <f>+Precios!K61*Precios!K$3</f>
        <v>0</v>
      </c>
      <c r="P63" s="12">
        <f>+Precios!L61*Precios!L$3</f>
        <v>0</v>
      </c>
      <c r="Q63" s="12">
        <f>+Precios!M61*Precios!M$3</f>
        <v>0</v>
      </c>
      <c r="R63" s="12">
        <f>+Precios!N61*Precios!N$3</f>
        <v>0</v>
      </c>
      <c r="S63" s="12">
        <f>+Precios!O61*Precios!O$3</f>
        <v>0</v>
      </c>
      <c r="T63" s="12">
        <f>+Precios!P61*Precios!P$3</f>
        <v>0</v>
      </c>
      <c r="U63" s="12">
        <f>+Precios!Q61*Precios!Q$3</f>
        <v>0</v>
      </c>
      <c r="V63" s="12">
        <f>+Precios!R61*Precios!R$3</f>
        <v>0</v>
      </c>
      <c r="W63" s="12">
        <f>+Precios!S61*Precios!S$3</f>
        <v>0</v>
      </c>
      <c r="X63" s="12">
        <f>+Precios!T61*Precios!T$3</f>
        <v>0</v>
      </c>
      <c r="Y63" s="12">
        <f>+Precios!U61*Precios!U$3</f>
        <v>0</v>
      </c>
      <c r="Z63" s="12">
        <f>+Precios!V61*Precios!V$3</f>
        <v>0</v>
      </c>
      <c r="AA63" s="12">
        <f>+Precios!W61*Precios!W$3</f>
        <v>0</v>
      </c>
      <c r="AB63" s="12">
        <f>+Precios!X61*Precios!X$3</f>
        <v>0</v>
      </c>
      <c r="AC63" s="12">
        <f>+Precios!Y61*Precios!Y$3</f>
        <v>0</v>
      </c>
      <c r="AD63" s="12">
        <f>+Precios!Z61*Precios!Z$3</f>
        <v>0</v>
      </c>
      <c r="AE63" s="12">
        <f>+Precios!AA61*Precios!AA$3</f>
        <v>0</v>
      </c>
      <c r="AF63" s="12">
        <f>+Precios!AB61*Precios!AB$3</f>
        <v>0</v>
      </c>
      <c r="AG63" s="12">
        <f>+Precios!AC61*Precios!AC$3</f>
        <v>0</v>
      </c>
      <c r="AH63" s="12">
        <f>+Precios!AD61*Precios!AD$3</f>
        <v>0</v>
      </c>
      <c r="AI63" s="12">
        <f>+Precios!AE61*Precios!AE$3</f>
        <v>0</v>
      </c>
      <c r="AJ63" s="12">
        <f>+Precios!AF61*Precios!AF$3</f>
        <v>0</v>
      </c>
      <c r="AK63" s="12">
        <f>+Precios!AG61*Precios!AG$3</f>
        <v>0</v>
      </c>
      <c r="AL63" s="12">
        <f>+Precios!AH61*Precios!AH$3</f>
        <v>0</v>
      </c>
      <c r="AM63" s="12">
        <f>+Precios!AI61*Precios!AI$3</f>
        <v>0</v>
      </c>
      <c r="AN63" s="12">
        <f>+Precios!AJ61*Precios!AJ$3</f>
        <v>0</v>
      </c>
      <c r="AO63" s="12">
        <f>+Precios!AK61*Precios!AK$3</f>
        <v>0</v>
      </c>
      <c r="AP63" s="12">
        <f>+Precios!AL61*Precios!AL$3</f>
        <v>0</v>
      </c>
      <c r="AQ63" s="12">
        <f>+Precios!AM61*Precios!AM$3</f>
        <v>0</v>
      </c>
      <c r="AR63" s="12">
        <f>+Precios!AN61*Precios!AN$3</f>
        <v>0</v>
      </c>
      <c r="AS63" s="12">
        <f>+Precios!AO61*Precios!AO$3</f>
        <v>0</v>
      </c>
      <c r="AT63" s="12">
        <f>+Precios!AP61*Precios!AP$3</f>
        <v>0</v>
      </c>
      <c r="AU63" s="12">
        <f>+Precios!AQ61*Precios!AQ$3</f>
        <v>0</v>
      </c>
      <c r="AV63" s="12">
        <f>+Precios!AR61*Precios!AR$3</f>
        <v>0</v>
      </c>
      <c r="AW63" s="12">
        <f>+Precios!AS61*Precios!AS$3</f>
        <v>0</v>
      </c>
      <c r="AX63" s="12">
        <f>+Precios!AT61*Precios!AT$3</f>
        <v>0</v>
      </c>
      <c r="AY63" s="12">
        <f>+Precios!AU61*$AY$3</f>
        <v>0</v>
      </c>
      <c r="AZ63" s="12">
        <f>+Precios!AV61*Precios!AV$3</f>
        <v>0</v>
      </c>
      <c r="BA63" s="12">
        <f>+Precios!AW61*Precios!AW$3</f>
        <v>0</v>
      </c>
      <c r="BB63" s="12">
        <f>+Precios!AX61*Precios!AX$3</f>
        <v>0</v>
      </c>
      <c r="BC63" s="12">
        <f>+Precios!AY61*Precios!AY$3</f>
        <v>0</v>
      </c>
      <c r="BD63" s="12">
        <f>+Precios!AZ61*Precios!AZ$3</f>
        <v>0</v>
      </c>
      <c r="BE63" s="12">
        <f>+Precios!BA61*Precios!BA$3</f>
        <v>0</v>
      </c>
      <c r="BF63" s="12">
        <f>+Precios!BB61*Precios!BB$3</f>
        <v>0</v>
      </c>
      <c r="BG63" s="12">
        <f>+Precios!BC61*Precios!BC$3</f>
        <v>0</v>
      </c>
      <c r="BH63" s="12">
        <f>+Precios!BD61*$BH$3</f>
        <v>0</v>
      </c>
      <c r="BI63" s="12">
        <f>+Precios!BE61*Precios!BE$3</f>
        <v>0</v>
      </c>
      <c r="BJ63" s="12">
        <f>+Precios!BF61*Precios!BF$3</f>
        <v>0</v>
      </c>
      <c r="BK63" s="12">
        <f>+Precios!BG61*Precios!BG$3</f>
        <v>0</v>
      </c>
      <c r="BL63" s="12">
        <f>+Precios!BH61*Precios!BH$3</f>
        <v>0</v>
      </c>
      <c r="BM63" s="12">
        <f>+Precios!BI61*Precios!BI$3</f>
        <v>0</v>
      </c>
      <c r="BN63" s="12">
        <f>+Precios!BJ61*$BN$3</f>
        <v>0</v>
      </c>
      <c r="BO63" s="12">
        <f>+Precios!BK61*$BO$3</f>
        <v>0</v>
      </c>
      <c r="BP63" s="12">
        <f>+Precios!BL61*Precios!BL$3</f>
        <v>0</v>
      </c>
    </row>
    <row r="64" spans="1:68" ht="15" thickBot="1">
      <c r="A64" s="5">
        <f>+SUM(F64:XFD64)</f>
        <v>0</v>
      </c>
      <c r="B64" s="26">
        <f>+TRACK!M40</f>
        <v>-1639.5</v>
      </c>
      <c r="C64" s="5">
        <f t="shared" si="0"/>
        <v>67962.28</v>
      </c>
      <c r="D64" s="5">
        <f>1000000+C64-Cost!A64</f>
        <v>1067962.28</v>
      </c>
      <c r="E64" s="15">
        <f>+Precios!A62</f>
        <v>46058</v>
      </c>
      <c r="F64" s="12">
        <f>+Precios!B62*Precios!B$3</f>
        <v>0</v>
      </c>
      <c r="G64" s="12">
        <f>+Precios!C62*Precios!C$3</f>
        <v>0</v>
      </c>
      <c r="H64" s="12">
        <f>+Precios!D62*Precios!D$3</f>
        <v>0</v>
      </c>
      <c r="I64" s="12">
        <f>+Precios!E62*Precios!E$3</f>
        <v>0</v>
      </c>
      <c r="J64" s="12">
        <f>+Precios!F62*Precios!F$3</f>
        <v>0</v>
      </c>
      <c r="K64" s="12">
        <f>+Precios!G62*Precios!G$3</f>
        <v>0</v>
      </c>
      <c r="L64" s="12">
        <f>+Precios!H62*Precios!H$3</f>
        <v>0</v>
      </c>
      <c r="M64" s="12">
        <f>+Precios!I62*Precios!I$3</f>
        <v>0</v>
      </c>
      <c r="N64" s="12">
        <f>+Precios!J62*Precios!J$3</f>
        <v>0</v>
      </c>
      <c r="O64" s="12">
        <f>+Precios!K62*Precios!K$3</f>
        <v>0</v>
      </c>
      <c r="P64" s="12">
        <f>+Precios!L62*Precios!L$3</f>
        <v>0</v>
      </c>
      <c r="Q64" s="12">
        <f>+Precios!M62*Precios!M$3</f>
        <v>0</v>
      </c>
      <c r="R64" s="12">
        <f>+Precios!N62*Precios!N$3</f>
        <v>0</v>
      </c>
      <c r="S64" s="12">
        <f>+Precios!O62*Precios!O$3</f>
        <v>0</v>
      </c>
      <c r="T64" s="12">
        <f>+Precios!P62*Precios!P$3</f>
        <v>0</v>
      </c>
      <c r="U64" s="12">
        <f>+Precios!Q62*Precios!Q$3</f>
        <v>0</v>
      </c>
      <c r="V64" s="12">
        <f>+Precios!R62*Precios!R$3</f>
        <v>0</v>
      </c>
      <c r="W64" s="12">
        <f>+Precios!S62*Precios!S$3</f>
        <v>0</v>
      </c>
      <c r="X64" s="12">
        <f>+Precios!T62*Precios!T$3</f>
        <v>0</v>
      </c>
      <c r="Y64" s="12">
        <f>+Precios!U62*Precios!U$3</f>
        <v>0</v>
      </c>
      <c r="Z64" s="12">
        <f>+Precios!V62*Precios!V$3</f>
        <v>0</v>
      </c>
      <c r="AA64" s="12">
        <f>+Precios!W62*Precios!W$3</f>
        <v>0</v>
      </c>
      <c r="AB64" s="12">
        <f>+Precios!X62*Precios!X$3</f>
        <v>0</v>
      </c>
      <c r="AC64" s="12">
        <f>+Precios!Y62*Precios!Y$3</f>
        <v>0</v>
      </c>
      <c r="AD64" s="12">
        <f>+Precios!Z62*Precios!Z$3</f>
        <v>0</v>
      </c>
      <c r="AE64" s="12">
        <f>+Precios!AA62*Precios!AA$3</f>
        <v>0</v>
      </c>
      <c r="AF64" s="12">
        <f>+Precios!AB62*Precios!AB$3</f>
        <v>0</v>
      </c>
      <c r="AG64" s="12">
        <f>+Precios!AC62*Precios!AC$3</f>
        <v>0</v>
      </c>
      <c r="AH64" s="12">
        <f>+Precios!AD62*Precios!AD$3</f>
        <v>0</v>
      </c>
      <c r="AI64" s="12">
        <f>+Precios!AE62*Precios!AE$3</f>
        <v>0</v>
      </c>
      <c r="AJ64" s="12">
        <f>+Precios!AF62*Precios!AF$3</f>
        <v>0</v>
      </c>
      <c r="AK64" s="12">
        <f>+Precios!AG62*Precios!AG$3</f>
        <v>0</v>
      </c>
      <c r="AL64" s="12">
        <f>+Precios!AH62*Precios!AH$3</f>
        <v>0</v>
      </c>
      <c r="AM64" s="12">
        <f>+Precios!AI62*Precios!AI$3</f>
        <v>0</v>
      </c>
      <c r="AN64" s="12">
        <f>+Precios!AJ62*Precios!AJ$3</f>
        <v>0</v>
      </c>
      <c r="AO64" s="12">
        <f>+Precios!AK62*Precios!AK$3</f>
        <v>0</v>
      </c>
      <c r="AP64" s="12">
        <f>+Precios!AL62*Precios!AL$3</f>
        <v>0</v>
      </c>
      <c r="AQ64" s="12">
        <f>+Precios!AM62*Precios!AM$3</f>
        <v>0</v>
      </c>
      <c r="AR64" s="12">
        <f>+Precios!AN62*Precios!AN$3</f>
        <v>0</v>
      </c>
      <c r="AS64" s="12">
        <f>+Precios!AO62*Precios!AO$3</f>
        <v>0</v>
      </c>
      <c r="AT64" s="12">
        <f>+Precios!AP62*Precios!AP$3</f>
        <v>0</v>
      </c>
      <c r="AU64" s="12">
        <f>+Precios!AQ62*Precios!AQ$3</f>
        <v>0</v>
      </c>
      <c r="AV64" s="12">
        <f>+Precios!AR62*Precios!AR$3</f>
        <v>0</v>
      </c>
      <c r="AW64" s="12">
        <f>+Precios!AS62*Precios!AS$3</f>
        <v>0</v>
      </c>
      <c r="AX64" s="12">
        <f>+Precios!AT62*Precios!AT$3</f>
        <v>0</v>
      </c>
      <c r="AY64" s="12">
        <f>+Precios!AU62*$AY$3</f>
        <v>0</v>
      </c>
      <c r="AZ64" s="12">
        <f>+Precios!AV62*Precios!AV$3</f>
        <v>0</v>
      </c>
      <c r="BA64" s="12">
        <f>+Precios!AW62*Precios!AW$3</f>
        <v>0</v>
      </c>
      <c r="BB64" s="12">
        <f>+Precios!AX62*Precios!AX$3</f>
        <v>0</v>
      </c>
      <c r="BC64" s="12">
        <f>+Precios!AY62*Precios!AY$3</f>
        <v>0</v>
      </c>
      <c r="BD64" s="12">
        <f>+Precios!AZ62*Precios!AZ$3</f>
        <v>0</v>
      </c>
      <c r="BE64" s="12">
        <f>+Precios!BA62*Precios!BA$3</f>
        <v>0</v>
      </c>
      <c r="BF64" s="12">
        <f>+Precios!BB62*Precios!BB$3</f>
        <v>0</v>
      </c>
      <c r="BG64" s="12">
        <f>+Precios!BC62*Precios!BC$3</f>
        <v>0</v>
      </c>
      <c r="BH64" s="12">
        <f>+Precios!BD62*$BH$3</f>
        <v>0</v>
      </c>
      <c r="BI64" s="12">
        <f>+Precios!BE62*Precios!BE$3</f>
        <v>0</v>
      </c>
      <c r="BJ64" s="12">
        <f>+Precios!BF62*Precios!BF$3</f>
        <v>0</v>
      </c>
      <c r="BK64" s="12">
        <f>+Precios!BG62*Precios!BG$3</f>
        <v>0</v>
      </c>
      <c r="BL64" s="12">
        <f>+Precios!BH62*Precios!BH$3</f>
        <v>0</v>
      </c>
      <c r="BM64" s="12">
        <f>+Precios!BI62*Precios!BI$3</f>
        <v>0</v>
      </c>
      <c r="BN64" s="12">
        <f>+Precios!BJ62*$BN$3</f>
        <v>0</v>
      </c>
      <c r="BO64" s="12">
        <f>+Precios!BK62*$BO$3</f>
        <v>0</v>
      </c>
      <c r="BP64" s="12">
        <f>+Precios!BL62*Precios!BL$3</f>
        <v>0</v>
      </c>
    </row>
    <row r="65" spans="1:68" ht="15" thickBot="1">
      <c r="A65" s="5">
        <f>+SUM(F65:XFD65)</f>
        <v>0</v>
      </c>
      <c r="B65" s="26">
        <f>+TRACK!M41</f>
        <v>-1698.1199999999974</v>
      </c>
      <c r="C65" s="5">
        <f t="shared" si="0"/>
        <v>66264.160000000003</v>
      </c>
      <c r="D65" s="5">
        <f>1000000+C65-Cost!A65</f>
        <v>1066264.1599999999</v>
      </c>
      <c r="E65" s="15">
        <f>+Precios!A63</f>
        <v>46059</v>
      </c>
      <c r="F65" s="12">
        <f>+Precios!B63*Precios!B$3</f>
        <v>0</v>
      </c>
      <c r="G65" s="12">
        <f>+Precios!C63*Precios!C$3</f>
        <v>0</v>
      </c>
      <c r="H65" s="12">
        <f>+Precios!D63*Precios!D$3</f>
        <v>0</v>
      </c>
      <c r="I65" s="12">
        <f>+Precios!E63*Precios!E$3</f>
        <v>0</v>
      </c>
      <c r="J65" s="12">
        <f>+Precios!F63*Precios!F$3</f>
        <v>0</v>
      </c>
      <c r="K65" s="12">
        <f>+Precios!G63*Precios!G$3</f>
        <v>0</v>
      </c>
      <c r="L65" s="12">
        <f>+Precios!H63*Precios!H$3</f>
        <v>0</v>
      </c>
      <c r="M65" s="12">
        <f>+Precios!I63*Precios!I$3</f>
        <v>0</v>
      </c>
      <c r="N65" s="12">
        <f>+Precios!J63*Precios!J$3</f>
        <v>0</v>
      </c>
      <c r="O65" s="12">
        <f>+Precios!K63*Precios!K$3</f>
        <v>0</v>
      </c>
      <c r="P65" s="12">
        <f>+Precios!L63*Precios!L$3</f>
        <v>0</v>
      </c>
      <c r="Q65" s="12">
        <f>+Precios!M63*Precios!M$3</f>
        <v>0</v>
      </c>
      <c r="R65" s="12">
        <f>+Precios!N63*Precios!N$3</f>
        <v>0</v>
      </c>
      <c r="S65" s="12">
        <f>+Precios!O63*Precios!O$3</f>
        <v>0</v>
      </c>
      <c r="T65" s="12">
        <f>+Precios!P63*Precios!P$3</f>
        <v>0</v>
      </c>
      <c r="U65" s="12">
        <f>+Precios!Q63*Precios!Q$3</f>
        <v>0</v>
      </c>
      <c r="V65" s="12">
        <f>+Precios!R63*Precios!R$3</f>
        <v>0</v>
      </c>
      <c r="W65" s="12">
        <f>+Precios!S63*Precios!S$3</f>
        <v>0</v>
      </c>
      <c r="X65" s="12">
        <f>+Precios!T63*Precios!T$3</f>
        <v>0</v>
      </c>
      <c r="Y65" s="12">
        <f>+Precios!U63*Precios!U$3</f>
        <v>0</v>
      </c>
      <c r="Z65" s="12">
        <f>+Precios!V63*Precios!V$3</f>
        <v>0</v>
      </c>
      <c r="AA65" s="12">
        <f>+Precios!W63*Precios!W$3</f>
        <v>0</v>
      </c>
      <c r="AB65" s="12">
        <f>+Precios!X63*Precios!X$3</f>
        <v>0</v>
      </c>
      <c r="AC65" s="12">
        <f>+Precios!Y63*Precios!Y$3</f>
        <v>0</v>
      </c>
      <c r="AD65" s="12">
        <f>+Precios!Z63*Precios!Z$3</f>
        <v>0</v>
      </c>
      <c r="AE65" s="12">
        <f>+Precios!AA63*Precios!AA$3</f>
        <v>0</v>
      </c>
      <c r="AF65" s="12">
        <f>+Precios!AB63*Precios!AB$3</f>
        <v>0</v>
      </c>
      <c r="AG65" s="12">
        <f>+Precios!AC63*Precios!AC$3</f>
        <v>0</v>
      </c>
      <c r="AH65" s="12">
        <f>+Precios!AD63*Precios!AD$3</f>
        <v>0</v>
      </c>
      <c r="AI65" s="12">
        <f>+Precios!AE63*Precios!AE$3</f>
        <v>0</v>
      </c>
      <c r="AJ65" s="12">
        <f>+Precios!AF63*Precios!AF$3</f>
        <v>0</v>
      </c>
      <c r="AK65" s="12">
        <f>+Precios!AG63*Precios!AG$3</f>
        <v>0</v>
      </c>
      <c r="AL65" s="12">
        <f>+Precios!AH63*Precios!AH$3</f>
        <v>0</v>
      </c>
      <c r="AM65" s="12">
        <f>+Precios!AI63*Precios!AI$3</f>
        <v>0</v>
      </c>
      <c r="AN65" s="12">
        <f>+Precios!AJ63*Precios!AJ$3</f>
        <v>0</v>
      </c>
      <c r="AO65" s="12">
        <f>+Precios!AK63*Precios!AK$3</f>
        <v>0</v>
      </c>
      <c r="AP65" s="12">
        <f>+Precios!AL63*Precios!AL$3</f>
        <v>0</v>
      </c>
      <c r="AQ65" s="12">
        <f>+Precios!AM63*Precios!AM$3</f>
        <v>0</v>
      </c>
      <c r="AR65" s="12">
        <f>+Precios!AN63*Precios!AN$3</f>
        <v>0</v>
      </c>
      <c r="AS65" s="12">
        <f>+Precios!AO63*Precios!AO$3</f>
        <v>0</v>
      </c>
      <c r="AT65" s="12">
        <f>+Precios!AP63*Precios!AP$3</f>
        <v>0</v>
      </c>
      <c r="AU65" s="12">
        <f>+Precios!AQ63*Precios!AQ$3</f>
        <v>0</v>
      </c>
      <c r="AV65" s="12">
        <f>+Precios!AR63*Precios!AR$3</f>
        <v>0</v>
      </c>
      <c r="AW65" s="12">
        <f>+Precios!AS63*Precios!AS$3</f>
        <v>0</v>
      </c>
      <c r="AX65" s="12">
        <f>+Precios!AT63*Precios!AT$3</f>
        <v>0</v>
      </c>
      <c r="AY65" s="12">
        <f>+Precios!AU63*$AY$3</f>
        <v>0</v>
      </c>
      <c r="AZ65" s="12">
        <f>+Precios!AV63*Precios!AV$3</f>
        <v>0</v>
      </c>
      <c r="BA65" s="12">
        <f>+Precios!AW63*Precios!AW$3</f>
        <v>0</v>
      </c>
      <c r="BB65" s="12">
        <f>+Precios!AX63*Precios!AX$3</f>
        <v>0</v>
      </c>
      <c r="BC65" s="12">
        <f>+Precios!AY63*Precios!AY$3</f>
        <v>0</v>
      </c>
      <c r="BD65" s="12">
        <f>+Precios!AZ63*Precios!AZ$3</f>
        <v>0</v>
      </c>
      <c r="BE65" s="12">
        <f>+Precios!BA63*Precios!BA$3</f>
        <v>0</v>
      </c>
      <c r="BF65" s="12">
        <f>+Precios!BB63*Precios!BB$3</f>
        <v>0</v>
      </c>
      <c r="BG65" s="12">
        <f>+Precios!BC63*Precios!BC$3</f>
        <v>0</v>
      </c>
      <c r="BH65" s="12">
        <f>+Precios!BD63*$BH$3</f>
        <v>0</v>
      </c>
      <c r="BI65" s="12">
        <f>+Precios!BE63*Precios!BE$3</f>
        <v>0</v>
      </c>
      <c r="BJ65" s="12">
        <f>+Precios!BF63*Precios!BF$3</f>
        <v>0</v>
      </c>
      <c r="BK65" s="12">
        <f>+Precios!BG63*Precios!BG$3</f>
        <v>0</v>
      </c>
      <c r="BL65" s="12">
        <f>+Precios!BH63*Precios!BH$3</f>
        <v>0</v>
      </c>
      <c r="BM65" s="12">
        <f>+Precios!BI63*Precios!BI$3</f>
        <v>0</v>
      </c>
      <c r="BN65" s="12">
        <f>+Precios!BJ63*$BN$3</f>
        <v>0</v>
      </c>
      <c r="BO65" s="12">
        <f>+Precios!BK63*$BO$3</f>
        <v>0</v>
      </c>
      <c r="BP65" s="12">
        <f>+Precios!BL63*Precios!BL$3</f>
        <v>0</v>
      </c>
    </row>
    <row r="66" spans="1:68" ht="15" thickBot="1">
      <c r="A66" s="5">
        <f>+SUM(F66:XFD66)</f>
        <v>0</v>
      </c>
      <c r="B66" s="26"/>
      <c r="C66" s="5">
        <f t="shared" si="0"/>
        <v>66264.160000000003</v>
      </c>
      <c r="D66" s="5">
        <f>1000000+C66-Cost!A66</f>
        <v>1066264.1599999999</v>
      </c>
      <c r="E66" s="15">
        <f>+Precios!A64</f>
        <v>46062</v>
      </c>
      <c r="F66" s="12">
        <f>+Precios!B64*Precios!B$3</f>
        <v>0</v>
      </c>
      <c r="G66" s="12">
        <f>+Precios!C64*Precios!C$3</f>
        <v>0</v>
      </c>
      <c r="H66" s="12">
        <f>+Precios!D64*Precios!D$3</f>
        <v>0</v>
      </c>
      <c r="I66" s="12">
        <f>+Precios!E64*Precios!E$3</f>
        <v>0</v>
      </c>
      <c r="J66" s="12">
        <f>+Precios!F64*Precios!F$3</f>
        <v>0</v>
      </c>
      <c r="K66" s="12">
        <f>+Precios!G64*Precios!G$3</f>
        <v>0</v>
      </c>
      <c r="L66" s="12">
        <f>+Precios!H64*Precios!H$3</f>
        <v>0</v>
      </c>
      <c r="M66" s="12">
        <f>+Precios!I64*Precios!I$3</f>
        <v>0</v>
      </c>
      <c r="N66" s="12">
        <f>+Precios!J64*Precios!J$3</f>
        <v>0</v>
      </c>
      <c r="O66" s="12">
        <f>+Precios!K64*Precios!K$3</f>
        <v>0</v>
      </c>
      <c r="P66" s="12">
        <f>+Precios!L64*Precios!L$3</f>
        <v>0</v>
      </c>
      <c r="Q66" s="12">
        <f>+Precios!M64*Precios!M$3</f>
        <v>0</v>
      </c>
      <c r="R66" s="12">
        <f>+Precios!N64*Precios!N$3</f>
        <v>0</v>
      </c>
      <c r="S66" s="12">
        <f>+Precios!O64*Precios!O$3</f>
        <v>0</v>
      </c>
      <c r="T66" s="12">
        <f>+Precios!P64*Precios!P$3</f>
        <v>0</v>
      </c>
      <c r="U66" s="12">
        <f>+Precios!Q64*Precios!Q$3</f>
        <v>0</v>
      </c>
      <c r="V66" s="12">
        <f>+Precios!R64*Precios!R$3</f>
        <v>0</v>
      </c>
      <c r="W66" s="12">
        <f>+Precios!S64*Precios!S$3</f>
        <v>0</v>
      </c>
      <c r="X66" s="12">
        <f>+Precios!T64*Precios!T$3</f>
        <v>0</v>
      </c>
      <c r="Y66" s="12">
        <f>+Precios!U64*Precios!U$3</f>
        <v>0</v>
      </c>
      <c r="Z66" s="12">
        <f>+Precios!V64*Precios!V$3</f>
        <v>0</v>
      </c>
      <c r="AA66" s="12">
        <f>+Precios!W64*Precios!W$3</f>
        <v>0</v>
      </c>
      <c r="AB66" s="12">
        <f>+Precios!X64*Precios!X$3</f>
        <v>0</v>
      </c>
      <c r="AC66" s="12">
        <f>+Precios!Y64*Precios!Y$3</f>
        <v>0</v>
      </c>
      <c r="AD66" s="12">
        <f>+Precios!Z64*Precios!Z$3</f>
        <v>0</v>
      </c>
      <c r="AE66" s="12">
        <f>+Precios!AA64*Precios!AA$3</f>
        <v>0</v>
      </c>
      <c r="AF66" s="12">
        <f>+Precios!AB64*Precios!AB$3</f>
        <v>0</v>
      </c>
      <c r="AG66" s="12">
        <f>+Precios!AC64*Precios!AC$3</f>
        <v>0</v>
      </c>
      <c r="AH66" s="12">
        <f>+Precios!AD64*Precios!AD$3</f>
        <v>0</v>
      </c>
      <c r="AI66" s="12">
        <f>+Precios!AE64*Precios!AE$3</f>
        <v>0</v>
      </c>
      <c r="AJ66" s="12">
        <f>+Precios!AF64*Precios!AF$3</f>
        <v>0</v>
      </c>
      <c r="AK66" s="12">
        <f>+Precios!AG64*Precios!AG$3</f>
        <v>0</v>
      </c>
      <c r="AL66" s="12">
        <f>+Precios!AH64*Precios!AH$3</f>
        <v>0</v>
      </c>
      <c r="AM66" s="12">
        <f>+Precios!AI64*Precios!AI$3</f>
        <v>0</v>
      </c>
      <c r="AN66" s="12">
        <f>+Precios!AJ64*Precios!AJ$3</f>
        <v>0</v>
      </c>
      <c r="AO66" s="12">
        <f>+Precios!AK64*Precios!AK$3</f>
        <v>0</v>
      </c>
      <c r="AP66" s="12">
        <f>+Precios!AL64*Precios!AL$3</f>
        <v>0</v>
      </c>
      <c r="AQ66" s="12">
        <f>+Precios!AM64*Precios!AM$3</f>
        <v>0</v>
      </c>
      <c r="AR66" s="12">
        <f>+Precios!AN64*Precios!AN$3</f>
        <v>0</v>
      </c>
      <c r="AS66" s="12">
        <f>+Precios!AO64*Precios!AO$3</f>
        <v>0</v>
      </c>
      <c r="AT66" s="12">
        <f>+Precios!AP64*Precios!AP$3</f>
        <v>0</v>
      </c>
      <c r="AU66" s="12">
        <f>+Precios!AQ64*Precios!AQ$3</f>
        <v>0</v>
      </c>
      <c r="AV66" s="12">
        <f>+Precios!AR64*Precios!AR$3</f>
        <v>0</v>
      </c>
      <c r="AW66" s="12">
        <f>+Precios!AS64*Precios!AS$3</f>
        <v>0</v>
      </c>
      <c r="AX66" s="12">
        <f>+Precios!AT64*Precios!AT$3</f>
        <v>0</v>
      </c>
      <c r="AY66" s="12">
        <f>+Precios!AU64*$AY$3</f>
        <v>0</v>
      </c>
      <c r="AZ66" s="12">
        <f>+Precios!AV64*Precios!AV$3</f>
        <v>0</v>
      </c>
      <c r="BA66" s="12">
        <f>+Precios!AW64*Precios!AW$3</f>
        <v>0</v>
      </c>
      <c r="BB66" s="12">
        <f>+Precios!AX64*Precios!AX$3</f>
        <v>0</v>
      </c>
      <c r="BC66" s="12">
        <f>+Precios!AY64*Precios!AY$3</f>
        <v>0</v>
      </c>
      <c r="BD66" s="12">
        <f>+Precios!AZ64*Precios!AZ$3</f>
        <v>0</v>
      </c>
      <c r="BE66" s="12">
        <f>+Precios!BA64*Precios!BA$3</f>
        <v>0</v>
      </c>
      <c r="BF66" s="12">
        <f>+Precios!BB64*Precios!BB$3</f>
        <v>0</v>
      </c>
      <c r="BG66" s="12">
        <f>+Precios!BC64*Precios!BC$3</f>
        <v>0</v>
      </c>
      <c r="BH66" s="12">
        <f>+Precios!BD64*$BH$3</f>
        <v>0</v>
      </c>
      <c r="BI66" s="12">
        <f>+Precios!BE64*Precios!BE$3</f>
        <v>0</v>
      </c>
      <c r="BJ66" s="12">
        <f>+Precios!BF64*Precios!BF$3</f>
        <v>0</v>
      </c>
      <c r="BK66" s="12">
        <f>+Precios!BG64*Precios!BG$3</f>
        <v>0</v>
      </c>
      <c r="BL66" s="12">
        <f>+Precios!BH64*Precios!BH$3</f>
        <v>0</v>
      </c>
      <c r="BM66" s="12">
        <f>+Precios!BI64*Precios!BI$3</f>
        <v>0</v>
      </c>
      <c r="BN66" s="12">
        <f>+Precios!BJ64*$BN$3</f>
        <v>0</v>
      </c>
      <c r="BO66" s="12">
        <f>+Precios!BK64*$BO$3</f>
        <v>0</v>
      </c>
      <c r="BP66" s="12">
        <f>+Precios!BL64*Precios!BL$3</f>
        <v>0</v>
      </c>
    </row>
    <row r="67" spans="1:68" ht="15" thickBot="1">
      <c r="A67" s="5">
        <f>+SUM(F67:XFD67)</f>
        <v>0</v>
      </c>
      <c r="B67" s="26"/>
      <c r="C67" s="5">
        <f t="shared" si="0"/>
        <v>66264.160000000003</v>
      </c>
      <c r="D67" s="5">
        <f>1000000+C67-Cost!A67</f>
        <v>1066264.1599999999</v>
      </c>
      <c r="E67" s="15">
        <f>+Precios!A65</f>
        <v>46063</v>
      </c>
      <c r="F67" s="12">
        <f>+Precios!B65*Precios!B$3</f>
        <v>0</v>
      </c>
      <c r="G67" s="12">
        <f>+Precios!C65*Precios!C$3</f>
        <v>0</v>
      </c>
      <c r="H67" s="12">
        <f>+Precios!D65*Precios!D$3</f>
        <v>0</v>
      </c>
      <c r="I67" s="12">
        <f>+Precios!E65*Precios!E$3</f>
        <v>0</v>
      </c>
      <c r="J67" s="12">
        <f>+Precios!F65*Precios!F$3</f>
        <v>0</v>
      </c>
      <c r="K67" s="12">
        <f>+Precios!G65*Precios!G$3</f>
        <v>0</v>
      </c>
      <c r="L67" s="12">
        <f>+Precios!H65*Precios!H$3</f>
        <v>0</v>
      </c>
      <c r="M67" s="12">
        <f>+Precios!I65*Precios!I$3</f>
        <v>0</v>
      </c>
      <c r="N67" s="12">
        <f>+Precios!J65*Precios!J$3</f>
        <v>0</v>
      </c>
      <c r="O67" s="12">
        <f>+Precios!K65*Precios!K$3</f>
        <v>0</v>
      </c>
      <c r="P67" s="12">
        <f>+Precios!L65*Precios!L$3</f>
        <v>0</v>
      </c>
      <c r="Q67" s="12">
        <f>+Precios!M65*Precios!M$3</f>
        <v>0</v>
      </c>
      <c r="R67" s="12">
        <f>+Precios!N65*Precios!N$3</f>
        <v>0</v>
      </c>
      <c r="S67" s="12">
        <f>+Precios!O65*Precios!O$3</f>
        <v>0</v>
      </c>
      <c r="T67" s="12">
        <f>+Precios!P65*Precios!P$3</f>
        <v>0</v>
      </c>
      <c r="U67" s="12">
        <f>+Precios!Q65*Precios!Q$3</f>
        <v>0</v>
      </c>
      <c r="V67" s="12">
        <f>+Precios!R65*Precios!R$3</f>
        <v>0</v>
      </c>
      <c r="W67" s="12">
        <f>+Precios!S65*Precios!S$3</f>
        <v>0</v>
      </c>
      <c r="X67" s="12">
        <f>+Precios!T65*Precios!T$3</f>
        <v>0</v>
      </c>
      <c r="Y67" s="12">
        <f>+Precios!U65*Precios!U$3</f>
        <v>0</v>
      </c>
      <c r="Z67" s="12">
        <f>+Precios!V65*Precios!V$3</f>
        <v>0</v>
      </c>
      <c r="AA67" s="12">
        <f>+Precios!W65*Precios!W$3</f>
        <v>0</v>
      </c>
      <c r="AB67" s="12">
        <f>+Precios!X65*Precios!X$3</f>
        <v>0</v>
      </c>
      <c r="AC67" s="12">
        <f>+Precios!Y65*Precios!Y$3</f>
        <v>0</v>
      </c>
      <c r="AD67" s="12">
        <f>+Precios!Z65*Precios!Z$3</f>
        <v>0</v>
      </c>
      <c r="AE67" s="12">
        <f>+Precios!AA65*Precios!AA$3</f>
        <v>0</v>
      </c>
      <c r="AF67" s="12">
        <f>+Precios!AB65*Precios!AB$3</f>
        <v>0</v>
      </c>
      <c r="AG67" s="12">
        <f>+Precios!AC65*Precios!AC$3</f>
        <v>0</v>
      </c>
      <c r="AH67" s="12">
        <f>+Precios!AD65*Precios!AD$3</f>
        <v>0</v>
      </c>
      <c r="AI67" s="12">
        <f>+Precios!AE65*Precios!AE$3</f>
        <v>0</v>
      </c>
      <c r="AJ67" s="12">
        <f>+Precios!AF65*Precios!AF$3</f>
        <v>0</v>
      </c>
      <c r="AK67" s="12">
        <f>+Precios!AG65*Precios!AG$3</f>
        <v>0</v>
      </c>
      <c r="AL67" s="12">
        <f>+Precios!AH65*Precios!AH$3</f>
        <v>0</v>
      </c>
      <c r="AM67" s="12">
        <f>+Precios!AI65*Precios!AI$3</f>
        <v>0</v>
      </c>
      <c r="AN67" s="12">
        <f>+Precios!AJ65*Precios!AJ$3</f>
        <v>0</v>
      </c>
      <c r="AO67" s="12">
        <f>+Precios!AK65*Precios!AK$3</f>
        <v>0</v>
      </c>
      <c r="AP67" s="12">
        <f>+Precios!AL65*Precios!AL$3</f>
        <v>0</v>
      </c>
      <c r="AQ67" s="12">
        <f>+Precios!AM65*Precios!AM$3</f>
        <v>0</v>
      </c>
      <c r="AR67" s="12">
        <f>+Precios!AN65*Precios!AN$3</f>
        <v>0</v>
      </c>
      <c r="AS67" s="12">
        <f>+Precios!AO65*Precios!AO$3</f>
        <v>0</v>
      </c>
      <c r="AT67" s="12">
        <f>+Precios!AP65*Precios!AP$3</f>
        <v>0</v>
      </c>
      <c r="AU67" s="12">
        <f>+Precios!AQ65*Precios!AQ$3</f>
        <v>0</v>
      </c>
      <c r="AV67" s="12">
        <f>+Precios!AR65*Precios!AR$3</f>
        <v>0</v>
      </c>
      <c r="AW67" s="12">
        <f>+Precios!AS65*Precios!AS$3</f>
        <v>0</v>
      </c>
      <c r="AX67" s="12">
        <f>+Precios!AT65*Precios!AT$3</f>
        <v>0</v>
      </c>
      <c r="AY67" s="12">
        <f>+Precios!AU65*$AY$3</f>
        <v>0</v>
      </c>
      <c r="AZ67" s="12">
        <f>+Precios!AV65*Precios!AV$3</f>
        <v>0</v>
      </c>
      <c r="BA67" s="12">
        <f>+Precios!AW65*Precios!AW$3</f>
        <v>0</v>
      </c>
      <c r="BB67" s="12">
        <f>+Precios!AX65*Precios!AX$3</f>
        <v>0</v>
      </c>
      <c r="BC67" s="12">
        <f>+Precios!AY65*Precios!AY$3</f>
        <v>0</v>
      </c>
      <c r="BD67" s="12">
        <f>+Precios!AZ65*Precios!AZ$3</f>
        <v>0</v>
      </c>
      <c r="BE67" s="12">
        <f>+Precios!BA65*Precios!BA$3</f>
        <v>0</v>
      </c>
      <c r="BF67" s="12">
        <f>+Precios!BB65*Precios!BB$3</f>
        <v>0</v>
      </c>
      <c r="BG67" s="12">
        <f>+Precios!BC65*Precios!BC$3</f>
        <v>0</v>
      </c>
      <c r="BH67" s="12">
        <f>+Precios!BD65*$BH$3</f>
        <v>0</v>
      </c>
      <c r="BI67" s="12">
        <f>+Precios!BE65*Precios!BE$3</f>
        <v>0</v>
      </c>
      <c r="BJ67" s="12">
        <f>+Precios!BF65*Precios!BF$3</f>
        <v>0</v>
      </c>
      <c r="BK67" s="12">
        <f>+Precios!BG65*Precios!BG$3</f>
        <v>0</v>
      </c>
      <c r="BL67" s="12">
        <f>+Precios!BH65*Precios!BH$3</f>
        <v>0</v>
      </c>
      <c r="BM67" s="12">
        <f>+Precios!BI65*Precios!BI$3</f>
        <v>0</v>
      </c>
      <c r="BN67" s="12">
        <f>+Precios!BJ65*$BN$3</f>
        <v>0</v>
      </c>
      <c r="BO67" s="12">
        <f>+Precios!BK65*$BO$3</f>
        <v>0</v>
      </c>
      <c r="BP67" s="12">
        <f>+Precios!BL65*Precios!BL$3</f>
        <v>0</v>
      </c>
    </row>
    <row r="68" spans="1:68" ht="15" thickBot="1">
      <c r="A68" s="5">
        <f>+SUM(F68:XFD68)</f>
        <v>0</v>
      </c>
      <c r="B68" s="26">
        <f>+TRACK!M43+TRACK!M42</f>
        <v>-3875.3899999999917</v>
      </c>
      <c r="C68" s="5">
        <f t="shared" si="0"/>
        <v>62388.770000000011</v>
      </c>
      <c r="D68" s="5">
        <f>1000000+C68-Cost!A68</f>
        <v>1062388.77</v>
      </c>
      <c r="E68" s="15">
        <f>+Precios!A66</f>
        <v>46064</v>
      </c>
      <c r="F68" s="12">
        <f>+Precios!B66*Precios!B$3</f>
        <v>0</v>
      </c>
      <c r="G68" s="12">
        <f>+Precios!C66*Precios!C$3</f>
        <v>0</v>
      </c>
      <c r="H68" s="12">
        <f>+Precios!D66*Precios!D$3</f>
        <v>0</v>
      </c>
      <c r="I68" s="12">
        <f>+Precios!E66*Precios!E$3</f>
        <v>0</v>
      </c>
      <c r="J68" s="12">
        <f>+Precios!F66*Precios!F$3</f>
        <v>0</v>
      </c>
      <c r="K68" s="12">
        <f>+Precios!G66*Precios!G$3</f>
        <v>0</v>
      </c>
      <c r="L68" s="12">
        <f>+Precios!H66*Precios!H$3</f>
        <v>0</v>
      </c>
      <c r="M68" s="12">
        <f>+Precios!I66*Precios!I$3</f>
        <v>0</v>
      </c>
      <c r="N68" s="12">
        <f>+Precios!J66*Precios!J$3</f>
        <v>0</v>
      </c>
      <c r="O68" s="12">
        <f>+Precios!K66*Precios!K$3</f>
        <v>0</v>
      </c>
      <c r="P68" s="12">
        <f>+Precios!L66*Precios!L$3</f>
        <v>0</v>
      </c>
      <c r="Q68" s="12">
        <f>+Precios!M66*Precios!M$3</f>
        <v>0</v>
      </c>
      <c r="R68" s="12">
        <f>+Precios!N66*Precios!N$3</f>
        <v>0</v>
      </c>
      <c r="S68" s="12">
        <f>+Precios!O66*Precios!O$3</f>
        <v>0</v>
      </c>
      <c r="T68" s="12">
        <f>+Precios!P66*Precios!P$3</f>
        <v>0</v>
      </c>
      <c r="U68" s="12">
        <f>+Precios!Q66*Precios!Q$3</f>
        <v>0</v>
      </c>
      <c r="V68" s="12">
        <f>+Precios!R66*Precios!R$3</f>
        <v>0</v>
      </c>
      <c r="W68" s="12">
        <f>+Precios!S66*Precios!S$3</f>
        <v>0</v>
      </c>
      <c r="X68" s="12">
        <f>+Precios!T66*Precios!T$3</f>
        <v>0</v>
      </c>
      <c r="Y68" s="12">
        <f>+Precios!U66*Precios!U$3</f>
        <v>0</v>
      </c>
      <c r="Z68" s="12">
        <f>+Precios!V66*Precios!V$3</f>
        <v>0</v>
      </c>
      <c r="AA68" s="12">
        <f>+Precios!W66*Precios!W$3</f>
        <v>0</v>
      </c>
      <c r="AB68" s="12">
        <f>+Precios!X66*Precios!X$3</f>
        <v>0</v>
      </c>
      <c r="AC68" s="12">
        <f>+Precios!Y66*Precios!Y$3</f>
        <v>0</v>
      </c>
      <c r="AD68" s="12">
        <f>+Precios!Z66*Precios!Z$3</f>
        <v>0</v>
      </c>
      <c r="AE68" s="12">
        <f>+Precios!AA66*Precios!AA$3</f>
        <v>0</v>
      </c>
      <c r="AF68" s="12">
        <f>+Precios!AB66*Precios!AB$3</f>
        <v>0</v>
      </c>
      <c r="AG68" s="12">
        <f>+Precios!AC66*Precios!AC$3</f>
        <v>0</v>
      </c>
      <c r="AH68" s="12">
        <f>+Precios!AD66*Precios!AD$3</f>
        <v>0</v>
      </c>
      <c r="AI68" s="12">
        <f>+Precios!AE66*Precios!AE$3</f>
        <v>0</v>
      </c>
      <c r="AJ68" s="12">
        <f>+Precios!AF66*Precios!AF$3</f>
        <v>0</v>
      </c>
      <c r="AK68" s="12">
        <f>+Precios!AG66*Precios!AG$3</f>
        <v>0</v>
      </c>
      <c r="AL68" s="12">
        <f>+Precios!AH66*Precios!AH$3</f>
        <v>0</v>
      </c>
      <c r="AM68" s="12">
        <f>+Precios!AI66*Precios!AI$3</f>
        <v>0</v>
      </c>
      <c r="AN68" s="12">
        <f>+Precios!AJ66*Precios!AJ$3</f>
        <v>0</v>
      </c>
      <c r="AO68" s="12">
        <f>+Precios!AK66*Precios!AK$3</f>
        <v>0</v>
      </c>
      <c r="AP68" s="12">
        <f>+Precios!AL66*Precios!AL$3</f>
        <v>0</v>
      </c>
      <c r="AQ68" s="12">
        <f>+Precios!AM66*Precios!AM$3</f>
        <v>0</v>
      </c>
      <c r="AR68" s="12">
        <f>+Precios!AN66*Precios!AN$3</f>
        <v>0</v>
      </c>
      <c r="AS68" s="12">
        <f>+Precios!AO66*Precios!AO$3</f>
        <v>0</v>
      </c>
      <c r="AT68" s="12">
        <f>+Precios!AP66*Precios!AP$3</f>
        <v>0</v>
      </c>
      <c r="AU68" s="12">
        <f>+Precios!AQ66*Precios!AQ$3</f>
        <v>0</v>
      </c>
      <c r="AV68" s="12">
        <f>+Precios!AR66*Precios!AR$3</f>
        <v>0</v>
      </c>
      <c r="AW68" s="12">
        <f>+Precios!AS66*Precios!AS$3</f>
        <v>0</v>
      </c>
      <c r="AX68" s="12">
        <f>+Precios!AT66*Precios!AT$3</f>
        <v>0</v>
      </c>
      <c r="AY68" s="12">
        <f>+Precios!AU66*$AY$3</f>
        <v>0</v>
      </c>
      <c r="AZ68" s="12">
        <f>+Precios!AV66*Precios!AV$3</f>
        <v>0</v>
      </c>
      <c r="BA68" s="12">
        <f>+Precios!AW66*Precios!AW$3</f>
        <v>0</v>
      </c>
      <c r="BB68" s="12">
        <f>+Precios!AX66*Precios!AX$3</f>
        <v>0</v>
      </c>
      <c r="BC68" s="12">
        <f>+Precios!AY66*Precios!AY$3</f>
        <v>0</v>
      </c>
      <c r="BD68" s="12">
        <f>+Precios!AZ66*Precios!AZ$3</f>
        <v>0</v>
      </c>
      <c r="BE68" s="12">
        <f>+Precios!BA66*Precios!BA$3</f>
        <v>0</v>
      </c>
      <c r="BF68" s="12">
        <f>+Precios!BB66*Precios!BB$3</f>
        <v>0</v>
      </c>
      <c r="BG68" s="12">
        <f>+Precios!BC66*Precios!BC$3</f>
        <v>0</v>
      </c>
      <c r="BH68" s="12">
        <f>+Precios!BD66*$BH$3</f>
        <v>0</v>
      </c>
      <c r="BI68" s="12">
        <f>+Precios!BE66*Precios!BE$3</f>
        <v>0</v>
      </c>
      <c r="BJ68" s="12">
        <f>+Precios!BF66*Precios!BF$3</f>
        <v>0</v>
      </c>
      <c r="BK68" s="12">
        <f>+Precios!BG66*Precios!BG$3</f>
        <v>0</v>
      </c>
      <c r="BL68" s="12">
        <f>+Precios!BH66*Precios!BH$3</f>
        <v>0</v>
      </c>
      <c r="BM68" s="12">
        <f>+Precios!BI66*Precios!BI$3</f>
        <v>0</v>
      </c>
      <c r="BN68" s="12">
        <f>+Precios!BJ66*$BN$3</f>
        <v>0</v>
      </c>
      <c r="BO68" s="12">
        <f>+Precios!BK66*$BO$3</f>
        <v>0</v>
      </c>
      <c r="BP68" s="12">
        <f>+Precios!BL66*Precios!BL$3</f>
        <v>0</v>
      </c>
    </row>
    <row r="69" spans="1:68" ht="15" thickBot="1">
      <c r="A69" s="5">
        <f>+SUM(F69:XFD69)</f>
        <v>0</v>
      </c>
      <c r="B69" s="26"/>
      <c r="C69" s="5">
        <f t="shared" si="0"/>
        <v>62388.770000000011</v>
      </c>
      <c r="D69" s="5">
        <f>1000000+C69-Cost!A69</f>
        <v>1062388.77</v>
      </c>
      <c r="E69" s="15">
        <f>+Precios!A67</f>
        <v>46065</v>
      </c>
      <c r="F69" s="12">
        <f>+Precios!B67*Precios!B$3</f>
        <v>0</v>
      </c>
      <c r="G69" s="12">
        <f>+Precios!C67*Precios!C$3</f>
        <v>0</v>
      </c>
      <c r="H69" s="12">
        <f>+Precios!D67*Precios!D$3</f>
        <v>0</v>
      </c>
      <c r="I69" s="12">
        <f>+Precios!E67*Precios!E$3</f>
        <v>0</v>
      </c>
      <c r="J69" s="12">
        <f>+Precios!F67*Precios!F$3</f>
        <v>0</v>
      </c>
      <c r="K69" s="12">
        <f>+Precios!G67*Precios!G$3</f>
        <v>0</v>
      </c>
      <c r="L69" s="12">
        <f>+Precios!H67*Precios!H$3</f>
        <v>0</v>
      </c>
      <c r="M69" s="12">
        <f>+Precios!I67*Precios!I$3</f>
        <v>0</v>
      </c>
      <c r="N69" s="12">
        <f>+Precios!J67*Precios!J$3</f>
        <v>0</v>
      </c>
      <c r="O69" s="12">
        <f>+Precios!K67*Precios!K$3</f>
        <v>0</v>
      </c>
      <c r="P69" s="12">
        <f>+Precios!L67*Precios!L$3</f>
        <v>0</v>
      </c>
      <c r="Q69" s="12">
        <f>+Precios!M67*Precios!M$3</f>
        <v>0</v>
      </c>
      <c r="R69" s="12">
        <f>+Precios!N67*Precios!N$3</f>
        <v>0</v>
      </c>
      <c r="S69" s="12">
        <f>+Precios!O67*Precios!O$3</f>
        <v>0</v>
      </c>
      <c r="T69" s="12">
        <f>+Precios!P67*Precios!P$3</f>
        <v>0</v>
      </c>
      <c r="U69" s="12">
        <f>+Precios!Q67*Precios!Q$3</f>
        <v>0</v>
      </c>
      <c r="V69" s="12">
        <f>+Precios!R67*Precios!R$3</f>
        <v>0</v>
      </c>
      <c r="W69" s="12">
        <f>+Precios!S67*Precios!S$3</f>
        <v>0</v>
      </c>
      <c r="X69" s="12">
        <f>+Precios!T67*Precios!T$3</f>
        <v>0</v>
      </c>
      <c r="Y69" s="12">
        <f>+Precios!U67*Precios!U$3</f>
        <v>0</v>
      </c>
      <c r="Z69" s="12">
        <f>+Precios!V67*Precios!V$3</f>
        <v>0</v>
      </c>
      <c r="AA69" s="12">
        <f>+Precios!W67*Precios!W$3</f>
        <v>0</v>
      </c>
      <c r="AB69" s="12">
        <f>+Precios!X67*Precios!X$3</f>
        <v>0</v>
      </c>
      <c r="AC69" s="12">
        <f>+Precios!Y67*Precios!Y$3</f>
        <v>0</v>
      </c>
      <c r="AD69" s="12">
        <f>+Precios!Z67*Precios!Z$3</f>
        <v>0</v>
      </c>
      <c r="AE69" s="12">
        <f>+Precios!AA67*Precios!AA$3</f>
        <v>0</v>
      </c>
      <c r="AF69" s="12">
        <f>+Precios!AB67*Precios!AB$3</f>
        <v>0</v>
      </c>
      <c r="AG69" s="12">
        <f>+Precios!AC67*Precios!AC$3</f>
        <v>0</v>
      </c>
      <c r="AH69" s="12">
        <f>+Precios!AD67*Precios!AD$3</f>
        <v>0</v>
      </c>
      <c r="AI69" s="12">
        <f>+Precios!AE67*Precios!AE$3</f>
        <v>0</v>
      </c>
      <c r="AJ69" s="12">
        <f>+Precios!AF67*Precios!AF$3</f>
        <v>0</v>
      </c>
      <c r="AK69" s="12">
        <f>+Precios!AG67*Precios!AG$3</f>
        <v>0</v>
      </c>
      <c r="AL69" s="12">
        <f>+Precios!AH67*Precios!AH$3</f>
        <v>0</v>
      </c>
      <c r="AM69" s="12">
        <f>+Precios!AI67*Precios!AI$3</f>
        <v>0</v>
      </c>
      <c r="AN69" s="12">
        <f>+Precios!AJ67*Precios!AJ$3</f>
        <v>0</v>
      </c>
      <c r="AO69" s="12">
        <f>+Precios!AK67*Precios!AK$3</f>
        <v>0</v>
      </c>
      <c r="AP69" s="12">
        <f>+Precios!AL67*Precios!AL$3</f>
        <v>0</v>
      </c>
      <c r="AQ69" s="12">
        <f>+Precios!AM67*Precios!AM$3</f>
        <v>0</v>
      </c>
      <c r="AR69" s="12">
        <f>+Precios!AN67*Precios!AN$3</f>
        <v>0</v>
      </c>
      <c r="AS69" s="12">
        <f>+Precios!AO67*Precios!AO$3</f>
        <v>0</v>
      </c>
      <c r="AT69" s="12">
        <f>+Precios!AP67*Precios!AP$3</f>
        <v>0</v>
      </c>
      <c r="AU69" s="12">
        <f>+Precios!AQ67*Precios!AQ$3</f>
        <v>0</v>
      </c>
      <c r="AV69" s="12">
        <f>+Precios!AR67*Precios!AR$3</f>
        <v>0</v>
      </c>
      <c r="AW69" s="12">
        <f>+Precios!AS67*Precios!AS$3</f>
        <v>0</v>
      </c>
      <c r="AX69" s="12">
        <f>+Precios!AT67*Precios!AT$3</f>
        <v>0</v>
      </c>
      <c r="AY69" s="12">
        <f>+Precios!AU67*$AY$3</f>
        <v>0</v>
      </c>
      <c r="AZ69" s="12">
        <f>+Precios!AV67*Precios!AV$3</f>
        <v>0</v>
      </c>
      <c r="BA69" s="12">
        <f>+Precios!AW67*Precios!AW$3</f>
        <v>0</v>
      </c>
      <c r="BB69" s="12">
        <f>+Precios!AX67*Precios!AX$3</f>
        <v>0</v>
      </c>
      <c r="BC69" s="12">
        <f>+Precios!AY67*Precios!AY$3</f>
        <v>0</v>
      </c>
      <c r="BD69" s="12">
        <f>+Precios!AZ67*Precios!AZ$3</f>
        <v>0</v>
      </c>
      <c r="BE69" s="12">
        <f>+Precios!BA67*Precios!BA$3</f>
        <v>0</v>
      </c>
      <c r="BF69" s="12">
        <f>+Precios!BB67*Precios!BB$3</f>
        <v>0</v>
      </c>
      <c r="BG69" s="12">
        <f>+Precios!BC67*Precios!BC$3</f>
        <v>0</v>
      </c>
      <c r="BH69" s="12">
        <f>+Precios!BD67*$BH$3</f>
        <v>0</v>
      </c>
      <c r="BI69" s="12">
        <f>+Precios!BE67*Precios!BE$3</f>
        <v>0</v>
      </c>
      <c r="BJ69" s="12">
        <f>+Precios!BF67*Precios!BF$3</f>
        <v>0</v>
      </c>
      <c r="BK69" s="12">
        <f>+Precios!BG67*Precios!BG$3</f>
        <v>0</v>
      </c>
      <c r="BL69" s="12">
        <f>+Precios!BH67*Precios!BH$3</f>
        <v>0</v>
      </c>
      <c r="BM69" s="12">
        <f>+Precios!BI67*Precios!BI$3</f>
        <v>0</v>
      </c>
      <c r="BN69" s="12">
        <f>+Precios!BJ67*$BN$3</f>
        <v>0</v>
      </c>
      <c r="BO69" s="12">
        <f>+Precios!BK67*$BO$3</f>
        <v>0</v>
      </c>
      <c r="BP69" s="12">
        <f>+Precios!BL67*Precios!BL$3</f>
        <v>0</v>
      </c>
    </row>
    <row r="70" spans="1:68" ht="15" thickBot="1">
      <c r="A70" s="5">
        <f>+SUM(F70:XFD70)</f>
        <v>0</v>
      </c>
      <c r="B70" s="26"/>
      <c r="C70" s="5">
        <f t="shared" si="0"/>
        <v>62388.770000000011</v>
      </c>
      <c r="D70" s="5">
        <f>1000000+C70-Cost!A70</f>
        <v>1062388.77</v>
      </c>
      <c r="E70" s="15">
        <f>+Precios!A68</f>
        <v>46066</v>
      </c>
      <c r="F70" s="12">
        <f>+Precios!B68*Precios!B$3</f>
        <v>0</v>
      </c>
      <c r="G70" s="12">
        <f>+Precios!C68*Precios!C$3</f>
        <v>0</v>
      </c>
      <c r="H70" s="12">
        <f>+Precios!D68*Precios!D$3</f>
        <v>0</v>
      </c>
      <c r="I70" s="12">
        <f>+Precios!E68*Precios!E$3</f>
        <v>0</v>
      </c>
      <c r="J70" s="12">
        <f>+Precios!F68*Precios!F$3</f>
        <v>0</v>
      </c>
      <c r="K70" s="12">
        <f>+Precios!G68*Precios!G$3</f>
        <v>0</v>
      </c>
      <c r="L70" s="12">
        <f>+Precios!H68*Precios!H$3</f>
        <v>0</v>
      </c>
      <c r="M70" s="12">
        <f>+Precios!I68*Precios!I$3</f>
        <v>0</v>
      </c>
      <c r="N70" s="12">
        <f>+Precios!J68*Precios!J$3</f>
        <v>0</v>
      </c>
      <c r="O70" s="12">
        <f>+Precios!K68*Precios!K$3</f>
        <v>0</v>
      </c>
      <c r="P70" s="12">
        <f>+Precios!L68*Precios!L$3</f>
        <v>0</v>
      </c>
      <c r="Q70" s="12">
        <f>+Precios!M68*Precios!M$3</f>
        <v>0</v>
      </c>
      <c r="R70" s="12">
        <f>+Precios!N68*Precios!N$3</f>
        <v>0</v>
      </c>
      <c r="S70" s="12">
        <f>+Precios!O68*Precios!O$3</f>
        <v>0</v>
      </c>
      <c r="T70" s="12">
        <f>+Precios!P68*Precios!P$3</f>
        <v>0</v>
      </c>
      <c r="U70" s="12">
        <f>+Precios!Q68*Precios!Q$3</f>
        <v>0</v>
      </c>
      <c r="V70" s="12">
        <f>+Precios!R68*Precios!R$3</f>
        <v>0</v>
      </c>
      <c r="W70" s="12">
        <f>+Precios!S68*Precios!S$3</f>
        <v>0</v>
      </c>
      <c r="X70" s="12">
        <f>+Precios!T68*Precios!T$3</f>
        <v>0</v>
      </c>
      <c r="Y70" s="12">
        <f>+Precios!U68*Precios!U$3</f>
        <v>0</v>
      </c>
      <c r="Z70" s="12">
        <f>+Precios!V68*Precios!V$3</f>
        <v>0</v>
      </c>
      <c r="AA70" s="12">
        <f>+Precios!W68*Precios!W$3</f>
        <v>0</v>
      </c>
      <c r="AB70" s="12">
        <f>+Precios!X68*Precios!X$3</f>
        <v>0</v>
      </c>
      <c r="AC70" s="12">
        <f>+Precios!Y68*Precios!Y$3</f>
        <v>0</v>
      </c>
      <c r="AD70" s="12">
        <f>+Precios!Z68*Precios!Z$3</f>
        <v>0</v>
      </c>
      <c r="AE70" s="12">
        <f>+Precios!AA68*Precios!AA$3</f>
        <v>0</v>
      </c>
      <c r="AF70" s="12">
        <f>+Precios!AB68*Precios!AB$3</f>
        <v>0</v>
      </c>
      <c r="AG70" s="12">
        <f>+Precios!AC68*Precios!AC$3</f>
        <v>0</v>
      </c>
      <c r="AH70" s="12">
        <f>+Precios!AD68*Precios!AD$3</f>
        <v>0</v>
      </c>
      <c r="AI70" s="12">
        <f>+Precios!AE68*Precios!AE$3</f>
        <v>0</v>
      </c>
      <c r="AJ70" s="12">
        <f>+Precios!AF68*Precios!AF$3</f>
        <v>0</v>
      </c>
      <c r="AK70" s="12">
        <f>+Precios!AG68*Precios!AG$3</f>
        <v>0</v>
      </c>
      <c r="AL70" s="12">
        <f>+Precios!AH68*Precios!AH$3</f>
        <v>0</v>
      </c>
      <c r="AM70" s="12">
        <f>+Precios!AI68*Precios!AI$3</f>
        <v>0</v>
      </c>
      <c r="AN70" s="12">
        <f>+Precios!AJ68*Precios!AJ$3</f>
        <v>0</v>
      </c>
      <c r="AO70" s="12">
        <f>+Precios!AK68*Precios!AK$3</f>
        <v>0</v>
      </c>
      <c r="AP70" s="12">
        <f>+Precios!AL68*Precios!AL$3</f>
        <v>0</v>
      </c>
      <c r="AQ70" s="12">
        <f>+Precios!AM68*Precios!AM$3</f>
        <v>0</v>
      </c>
      <c r="AR70" s="12">
        <f>+Precios!AN68*Precios!AN$3</f>
        <v>0</v>
      </c>
      <c r="AS70" s="12">
        <f>+Precios!AO68*Precios!AO$3</f>
        <v>0</v>
      </c>
      <c r="AT70" s="12">
        <f>+Precios!AP68*Precios!AP$3</f>
        <v>0</v>
      </c>
      <c r="AU70" s="12">
        <f>+Precios!AQ68*Precios!AQ$3</f>
        <v>0</v>
      </c>
      <c r="AV70" s="12">
        <f>+Precios!AR68*Precios!AR$3</f>
        <v>0</v>
      </c>
      <c r="AW70" s="12">
        <f>+Precios!AS68*Precios!AS$3</f>
        <v>0</v>
      </c>
      <c r="AX70" s="12">
        <f>+Precios!AT68*Precios!AT$3</f>
        <v>0</v>
      </c>
      <c r="AY70" s="12">
        <f>+Precios!AU68*$AY$3</f>
        <v>0</v>
      </c>
      <c r="AZ70" s="12">
        <f>+Precios!AV68*Precios!AV$3</f>
        <v>0</v>
      </c>
      <c r="BA70" s="12">
        <f>+Precios!AW68*Precios!AW$3</f>
        <v>0</v>
      </c>
      <c r="BB70" s="12">
        <f>+Precios!AX68*Precios!AX$3</f>
        <v>0</v>
      </c>
      <c r="BC70" s="12">
        <f>+Precios!AY68*Precios!AY$3</f>
        <v>0</v>
      </c>
      <c r="BD70" s="12">
        <f>+Precios!AZ68*Precios!AZ$3</f>
        <v>0</v>
      </c>
      <c r="BE70" s="12">
        <f>+Precios!BA68*Precios!BA$3</f>
        <v>0</v>
      </c>
      <c r="BF70" s="12">
        <f>+Precios!BB68*Precios!BB$3</f>
        <v>0</v>
      </c>
      <c r="BG70" s="12">
        <f>+Precios!BC68*Precios!BC$3</f>
        <v>0</v>
      </c>
      <c r="BH70" s="12">
        <f>+Precios!BD68*$BH$3</f>
        <v>0</v>
      </c>
      <c r="BI70" s="12">
        <f>+Precios!BE68*Precios!BE$3</f>
        <v>0</v>
      </c>
      <c r="BJ70" s="12">
        <f>+Precios!BF68*Precios!BF$3</f>
        <v>0</v>
      </c>
      <c r="BK70" s="12">
        <f>+Precios!BG68*Precios!BG$3</f>
        <v>0</v>
      </c>
      <c r="BL70" s="12">
        <f>+Precios!BH68*Precios!BH$3</f>
        <v>0</v>
      </c>
      <c r="BM70" s="12">
        <f>+Precios!BI68*Precios!BI$3</f>
        <v>0</v>
      </c>
      <c r="BN70" s="12">
        <f>+Precios!BJ68*$BN$3</f>
        <v>0</v>
      </c>
      <c r="BO70" s="12">
        <f>+Precios!BK68*$BO$3</f>
        <v>0</v>
      </c>
      <c r="BP70" s="12">
        <f>+Precios!BL68*Precios!BL$3</f>
        <v>0</v>
      </c>
    </row>
    <row r="71" spans="1:68" ht="15" thickBot="1">
      <c r="A71" s="5">
        <f>+SUM(F71:XFD71)</f>
        <v>0</v>
      </c>
      <c r="B71" s="26"/>
      <c r="C71" s="5">
        <f t="shared" si="0"/>
        <v>62388.770000000011</v>
      </c>
      <c r="D71" s="5">
        <f>1000000+C71-Cost!A71</f>
        <v>1062388.77</v>
      </c>
      <c r="E71" s="15">
        <f>+Precios!A69</f>
        <v>46069</v>
      </c>
      <c r="F71" s="12">
        <f>+Precios!B69*Precios!B$3</f>
        <v>0</v>
      </c>
      <c r="G71" s="12">
        <f>+Precios!C69*Precios!C$3</f>
        <v>0</v>
      </c>
      <c r="H71" s="12">
        <f>+Precios!D69*Precios!D$3</f>
        <v>0</v>
      </c>
      <c r="I71" s="12">
        <f>+Precios!E69*Precios!E$3</f>
        <v>0</v>
      </c>
      <c r="J71" s="12">
        <f>+Precios!F69*Precios!F$3</f>
        <v>0</v>
      </c>
      <c r="K71" s="12">
        <f>+Precios!G69*Precios!G$3</f>
        <v>0</v>
      </c>
      <c r="L71" s="12">
        <f>+Precios!H69*Precios!H$3</f>
        <v>0</v>
      </c>
      <c r="M71" s="12">
        <f>+Precios!I69*Precios!I$3</f>
        <v>0</v>
      </c>
      <c r="N71" s="12">
        <f>+Precios!J69*Precios!J$3</f>
        <v>0</v>
      </c>
      <c r="O71" s="12">
        <f>+Precios!K69*Precios!K$3</f>
        <v>0</v>
      </c>
      <c r="P71" s="12">
        <f>+Precios!L69*Precios!L$3</f>
        <v>0</v>
      </c>
      <c r="Q71" s="12">
        <f>+Precios!M69*Precios!M$3</f>
        <v>0</v>
      </c>
      <c r="R71" s="12">
        <f>+Precios!N69*Precios!N$3</f>
        <v>0</v>
      </c>
      <c r="S71" s="12">
        <f>+Precios!O69*Precios!O$3</f>
        <v>0</v>
      </c>
      <c r="T71" s="12">
        <f>+Precios!P69*Precios!P$3</f>
        <v>0</v>
      </c>
      <c r="U71" s="12">
        <f>+Precios!Q69*Precios!Q$3</f>
        <v>0</v>
      </c>
      <c r="V71" s="12">
        <f>+Precios!R69*Precios!R$3</f>
        <v>0</v>
      </c>
      <c r="W71" s="12">
        <f>+Precios!S69*Precios!S$3</f>
        <v>0</v>
      </c>
      <c r="X71" s="12">
        <f>+Precios!T69*Precios!T$3</f>
        <v>0</v>
      </c>
      <c r="Y71" s="12">
        <f>+Precios!U69*Precios!U$3</f>
        <v>0</v>
      </c>
      <c r="Z71" s="12">
        <f>+Precios!V69*Precios!V$3</f>
        <v>0</v>
      </c>
      <c r="AA71" s="12">
        <f>+Precios!W69*Precios!W$3</f>
        <v>0</v>
      </c>
      <c r="AB71" s="12">
        <f>+Precios!X69*Precios!X$3</f>
        <v>0</v>
      </c>
      <c r="AC71" s="12">
        <f>+Precios!Y69*Precios!Y$3</f>
        <v>0</v>
      </c>
      <c r="AD71" s="12">
        <f>+Precios!Z69*Precios!Z$3</f>
        <v>0</v>
      </c>
      <c r="AE71" s="12">
        <f>+Precios!AA69*Precios!AA$3</f>
        <v>0</v>
      </c>
      <c r="AF71" s="12">
        <f>+Precios!AB69*Precios!AB$3</f>
        <v>0</v>
      </c>
      <c r="AG71" s="12">
        <f>+Precios!AC69*Precios!AC$3</f>
        <v>0</v>
      </c>
      <c r="AH71" s="12">
        <f>+Precios!AD69*Precios!AD$3</f>
        <v>0</v>
      </c>
      <c r="AI71" s="12">
        <f>+Precios!AE69*Precios!AE$3</f>
        <v>0</v>
      </c>
      <c r="AJ71" s="12">
        <f>+Precios!AF69*Precios!AF$3</f>
        <v>0</v>
      </c>
      <c r="AK71" s="12">
        <f>+Precios!AG69*Precios!AG$3</f>
        <v>0</v>
      </c>
      <c r="AL71" s="12">
        <f>+Precios!AH69*Precios!AH$3</f>
        <v>0</v>
      </c>
      <c r="AM71" s="12">
        <f>+Precios!AI69*Precios!AI$3</f>
        <v>0</v>
      </c>
      <c r="AN71" s="12">
        <f>+Precios!AJ69*Precios!AJ$3</f>
        <v>0</v>
      </c>
      <c r="AO71" s="12">
        <f>+Precios!AK69*Precios!AK$3</f>
        <v>0</v>
      </c>
      <c r="AP71" s="12">
        <f>+Precios!AL69*Precios!AL$3</f>
        <v>0</v>
      </c>
      <c r="AQ71" s="12">
        <f>+Precios!AM69*Precios!AM$3</f>
        <v>0</v>
      </c>
      <c r="AR71" s="12">
        <f>+Precios!AN69*Precios!AN$3</f>
        <v>0</v>
      </c>
      <c r="AS71" s="12">
        <f>+Precios!AO69*Precios!AO$3</f>
        <v>0</v>
      </c>
      <c r="AT71" s="12">
        <f>+Precios!AP69*Precios!AP$3</f>
        <v>0</v>
      </c>
      <c r="AU71" s="12">
        <f>+Precios!AQ69*Precios!AQ$3</f>
        <v>0</v>
      </c>
      <c r="AV71" s="12">
        <f>+Precios!AR69*Precios!AR$3</f>
        <v>0</v>
      </c>
      <c r="AW71" s="12">
        <f>+Precios!AS69*Precios!AS$3</f>
        <v>0</v>
      </c>
      <c r="AX71" s="12">
        <f>+Precios!AT69*Precios!AT$3</f>
        <v>0</v>
      </c>
      <c r="AY71" s="12">
        <f>+Precios!AU69*$AY$3</f>
        <v>0</v>
      </c>
      <c r="AZ71" s="12">
        <f>+Precios!AV69*Precios!AV$3</f>
        <v>0</v>
      </c>
      <c r="BA71" s="12">
        <f>+Precios!AW69*Precios!AW$3</f>
        <v>0</v>
      </c>
      <c r="BB71" s="12">
        <f>+Precios!AX69*Precios!AX$3</f>
        <v>0</v>
      </c>
      <c r="BC71" s="12">
        <f>+Precios!AY69*Precios!AY$3</f>
        <v>0</v>
      </c>
      <c r="BD71" s="12">
        <f>+Precios!AZ69*Precios!AZ$3</f>
        <v>0</v>
      </c>
      <c r="BE71" s="12">
        <f>+Precios!BA69*Precios!BA$3</f>
        <v>0</v>
      </c>
      <c r="BF71" s="12">
        <f>+Precios!BB69*Precios!BB$3</f>
        <v>0</v>
      </c>
      <c r="BG71" s="12">
        <f>+Precios!BC69*Precios!BC$3</f>
        <v>0</v>
      </c>
      <c r="BH71" s="12">
        <f>+Precios!BD69*$BH$3</f>
        <v>0</v>
      </c>
      <c r="BI71" s="12">
        <f>+Precios!BE69*Precios!BE$3</f>
        <v>0</v>
      </c>
      <c r="BJ71" s="12">
        <f>+Precios!BF69*Precios!BF$3</f>
        <v>0</v>
      </c>
      <c r="BK71" s="12">
        <f>+Precios!BG69*Precios!BG$3</f>
        <v>0</v>
      </c>
      <c r="BL71" s="12">
        <f>+Precios!BH69*Precios!BH$3</f>
        <v>0</v>
      </c>
      <c r="BM71" s="12">
        <f>+Precios!BI69*Precios!BI$3</f>
        <v>0</v>
      </c>
      <c r="BN71" s="12">
        <f>+Precios!BJ69*$BN$3</f>
        <v>0</v>
      </c>
      <c r="BO71" s="12">
        <f>+Precios!BK69*$BO$3</f>
        <v>0</v>
      </c>
      <c r="BP71" s="12">
        <f>+Precios!BL69*Precios!BL$3</f>
        <v>0</v>
      </c>
    </row>
    <row r="72" spans="1:68" ht="15" thickBot="1">
      <c r="A72" s="5">
        <f>+SUM(F72:XFD72)</f>
        <v>49235.409999999996</v>
      </c>
      <c r="B72" s="26">
        <f>+TRACK!M45+TRACK!M44</f>
        <v>-8455.4900000000034</v>
      </c>
      <c r="C72" s="5">
        <f t="shared" si="0"/>
        <v>53933.280000000006</v>
      </c>
      <c r="D72" s="5">
        <f>1000000+C72-Cost!A72</f>
        <v>1003933.28</v>
      </c>
      <c r="E72" s="15">
        <f>+Precios!A70</f>
        <v>46070</v>
      </c>
      <c r="F72" s="12">
        <f>+Precios!B70*Precios!B$3</f>
        <v>0</v>
      </c>
      <c r="G72" s="12">
        <f>+Precios!C70*Precios!C$3</f>
        <v>0</v>
      </c>
      <c r="H72" s="12">
        <f>+Precios!D70*Precios!D$3</f>
        <v>0</v>
      </c>
      <c r="I72" s="12">
        <f>+Precios!E70*Precios!E$3</f>
        <v>0</v>
      </c>
      <c r="J72" s="12">
        <f>+Precios!F70*Precios!F$3</f>
        <v>0</v>
      </c>
      <c r="K72" s="12">
        <f>+Precios!G70*Precios!G$3</f>
        <v>0</v>
      </c>
      <c r="L72" s="12">
        <f>+Precios!H70*Precios!H$3</f>
        <v>0</v>
      </c>
      <c r="M72" s="12">
        <f>+Precios!I70*Precios!I$3</f>
        <v>0</v>
      </c>
      <c r="N72" s="12">
        <f>+Precios!J70*Precios!J$3</f>
        <v>0</v>
      </c>
      <c r="O72" s="12">
        <f>+Precios!K70*Precios!K$3</f>
        <v>0</v>
      </c>
      <c r="P72" s="12">
        <f>+Precios!L70*Precios!L$3</f>
        <v>0</v>
      </c>
      <c r="Q72" s="12">
        <f>+Precios!M70*Precios!M$3</f>
        <v>0</v>
      </c>
      <c r="R72" s="12">
        <f>+Precios!N70*Precios!N$3</f>
        <v>0</v>
      </c>
      <c r="S72" s="12">
        <f>+Precios!O70*Precios!O$3</f>
        <v>0</v>
      </c>
      <c r="T72" s="12">
        <f>+Precios!P70*Precios!P$3</f>
        <v>0</v>
      </c>
      <c r="U72" s="12">
        <f>+Precios!Q70*Precios!Q$3</f>
        <v>0</v>
      </c>
      <c r="V72" s="12">
        <f>+Precios!R70*Precios!R$3</f>
        <v>0</v>
      </c>
      <c r="W72" s="12">
        <f>+Precios!S70*Precios!S$3</f>
        <v>0</v>
      </c>
      <c r="X72" s="12">
        <f>+Precios!T70*Precios!T$3</f>
        <v>0</v>
      </c>
      <c r="Y72" s="12">
        <f>+Precios!U70*Precios!U$3</f>
        <v>0</v>
      </c>
      <c r="Z72" s="12">
        <f>+Precios!V70*Precios!V$3</f>
        <v>0</v>
      </c>
      <c r="AA72" s="12">
        <f>+Precios!W70*Precios!W$3</f>
        <v>0</v>
      </c>
      <c r="AB72" s="12">
        <f>+Precios!X70*Precios!X$3</f>
        <v>0</v>
      </c>
      <c r="AC72" s="12">
        <f>+Precios!Y70*Precios!Y$3</f>
        <v>0</v>
      </c>
      <c r="AD72" s="12">
        <f>+Precios!Z70*Precios!Z$3</f>
        <v>0</v>
      </c>
      <c r="AE72" s="12">
        <f>+Precios!AA70*Precios!AA$3</f>
        <v>0</v>
      </c>
      <c r="AF72" s="12">
        <f>+Precios!AB70*Precios!AB$3</f>
        <v>0</v>
      </c>
      <c r="AG72" s="12">
        <f>+Precios!AC70*Precios!AC$3</f>
        <v>0</v>
      </c>
      <c r="AH72" s="12">
        <f>+Precios!AD70*Precios!AD$3</f>
        <v>0</v>
      </c>
      <c r="AI72" s="12">
        <f>+Precios!AE70*Precios!AE$3</f>
        <v>0</v>
      </c>
      <c r="AJ72" s="12">
        <f>+Precios!AF70*Precios!AF$3</f>
        <v>0</v>
      </c>
      <c r="AK72" s="12">
        <f>+Precios!AG70*Precios!AG$3</f>
        <v>0</v>
      </c>
      <c r="AL72" s="12">
        <f>+Precios!AH70*Precios!AH$3</f>
        <v>0</v>
      </c>
      <c r="AM72" s="12">
        <f>+Precios!AI70*Precios!AI$3</f>
        <v>0</v>
      </c>
      <c r="AN72" s="12">
        <f>+Precios!AJ70*Precios!AJ$3</f>
        <v>0</v>
      </c>
      <c r="AO72" s="12">
        <f>+Precios!AK70*Precios!AK$3</f>
        <v>0</v>
      </c>
      <c r="AP72" s="12">
        <f>+Precios!AL70*Precios!AL$3</f>
        <v>0</v>
      </c>
      <c r="AQ72" s="12">
        <f>+Precios!AM70*Precios!AM$3</f>
        <v>0</v>
      </c>
      <c r="AR72" s="12">
        <f>+Precios!AN70*Precios!AN$3</f>
        <v>0</v>
      </c>
      <c r="AS72" s="12">
        <f>+Precios!AO70*Precios!AO$3</f>
        <v>0</v>
      </c>
      <c r="AT72" s="12">
        <f>+Precios!AP70*Precios!AP$3</f>
        <v>0</v>
      </c>
      <c r="AU72" s="12">
        <f>+Precios!AQ70*Precios!AQ$3</f>
        <v>0</v>
      </c>
      <c r="AV72" s="12">
        <f>+Precios!AR70*Precios!AR$3</f>
        <v>0</v>
      </c>
      <c r="AW72" s="12">
        <f>+Precios!AS70*Precios!AS$3</f>
        <v>0</v>
      </c>
      <c r="AX72" s="12">
        <f>+Precios!AT70*Precios!AT$3</f>
        <v>0</v>
      </c>
      <c r="AY72" s="12">
        <f>+Precios!AU70*$AY$3</f>
        <v>49235.409999999996</v>
      </c>
      <c r="AZ72" s="12">
        <f>+Precios!AV70*Precios!AV$3</f>
        <v>0</v>
      </c>
      <c r="BA72" s="12">
        <f>+Precios!AW70*Precios!AW$3</f>
        <v>0</v>
      </c>
      <c r="BB72" s="12">
        <f>+Precios!AX70*Precios!AX$3</f>
        <v>0</v>
      </c>
      <c r="BC72" s="12">
        <f>+Precios!AY70*Precios!AY$3</f>
        <v>0</v>
      </c>
      <c r="BD72" s="12">
        <f>+Precios!AZ70*Precios!AZ$3</f>
        <v>0</v>
      </c>
      <c r="BE72" s="12">
        <f>+Precios!BA70*Precios!BA$3</f>
        <v>0</v>
      </c>
      <c r="BF72" s="12">
        <f>+Precios!BB70*Precios!BB$3</f>
        <v>0</v>
      </c>
      <c r="BG72" s="12">
        <f>+Precios!BC70*Precios!BC$3</f>
        <v>0</v>
      </c>
      <c r="BH72" s="12">
        <f>+Precios!BD70*$BH$3</f>
        <v>0</v>
      </c>
      <c r="BI72" s="12">
        <f>+Precios!BE70*Precios!BE$3</f>
        <v>0</v>
      </c>
      <c r="BJ72" s="12">
        <f>+Precios!BF70*Precios!BF$3</f>
        <v>0</v>
      </c>
      <c r="BK72" s="12">
        <f>+Precios!BG70*Precios!BG$3</f>
        <v>0</v>
      </c>
      <c r="BL72" s="12">
        <f>+Precios!BH70*Precios!BH$3</f>
        <v>0</v>
      </c>
      <c r="BM72" s="12">
        <f>+Precios!BI70*Precios!BI$3</f>
        <v>0</v>
      </c>
      <c r="BN72" s="12">
        <f>+Precios!BJ70*$BN$3</f>
        <v>0</v>
      </c>
      <c r="BO72" s="12">
        <f>+Precios!BK70*$BO$3</f>
        <v>0</v>
      </c>
      <c r="BP72" s="12">
        <f>+Precios!BL70*Precios!BL$3</f>
        <v>0</v>
      </c>
    </row>
    <row r="73" spans="1:68" ht="15" thickBot="1">
      <c r="A73" s="5">
        <f>+SUM(F73:XFD73)</f>
        <v>50245.159999999996</v>
      </c>
      <c r="B73" s="26"/>
      <c r="C73" s="5">
        <f t="shared" ref="C73:C110" si="1">+C72+B73</f>
        <v>53933.280000000006</v>
      </c>
      <c r="D73" s="5">
        <f>1000000+C73-Cost!A73</f>
        <v>1003933.28</v>
      </c>
      <c r="E73" s="15">
        <f>+Precios!A71</f>
        <v>46071</v>
      </c>
      <c r="F73" s="12">
        <f>+Precios!B71*Precios!B$3</f>
        <v>0</v>
      </c>
      <c r="G73" s="12">
        <f>+Precios!C71*Precios!C$3</f>
        <v>0</v>
      </c>
      <c r="H73" s="12">
        <f>+Precios!D71*Precios!D$3</f>
        <v>0</v>
      </c>
      <c r="I73" s="12">
        <f>+Precios!E71*Precios!E$3</f>
        <v>0</v>
      </c>
      <c r="J73" s="12">
        <f>+Precios!F71*Precios!F$3</f>
        <v>0</v>
      </c>
      <c r="K73" s="12">
        <f>+Precios!G71*Precios!G$3</f>
        <v>0</v>
      </c>
      <c r="L73" s="12">
        <f>+Precios!H71*Precios!H$3</f>
        <v>0</v>
      </c>
      <c r="M73" s="12">
        <f>+Precios!I71*Precios!I$3</f>
        <v>0</v>
      </c>
      <c r="N73" s="12">
        <f>+Precios!J71*Precios!J$3</f>
        <v>0</v>
      </c>
      <c r="O73" s="12">
        <f>+Precios!K71*Precios!K$3</f>
        <v>0</v>
      </c>
      <c r="P73" s="12">
        <f>+Precios!L71*Precios!L$3</f>
        <v>0</v>
      </c>
      <c r="Q73" s="12">
        <f>+Precios!M71*Precios!M$3</f>
        <v>0</v>
      </c>
      <c r="R73" s="12">
        <f>+Precios!N71*Precios!N$3</f>
        <v>0</v>
      </c>
      <c r="S73" s="12">
        <f>+Precios!O71*Precios!O$3</f>
        <v>0</v>
      </c>
      <c r="T73" s="12">
        <f>+Precios!P71*Precios!P$3</f>
        <v>0</v>
      </c>
      <c r="U73" s="12">
        <f>+Precios!Q71*Precios!Q$3</f>
        <v>0</v>
      </c>
      <c r="V73" s="12">
        <f>+Precios!R71*Precios!R$3</f>
        <v>0</v>
      </c>
      <c r="W73" s="12">
        <f>+Precios!S71*Precios!S$3</f>
        <v>0</v>
      </c>
      <c r="X73" s="12">
        <f>+Precios!T71*Precios!T$3</f>
        <v>0</v>
      </c>
      <c r="Y73" s="12">
        <f>+Precios!U71*Precios!U$3</f>
        <v>0</v>
      </c>
      <c r="Z73" s="12">
        <f>+Precios!V71*Precios!V$3</f>
        <v>0</v>
      </c>
      <c r="AA73" s="12">
        <f>+Precios!W71*Precios!W$3</f>
        <v>0</v>
      </c>
      <c r="AB73" s="12">
        <f>+Precios!X71*Precios!X$3</f>
        <v>0</v>
      </c>
      <c r="AC73" s="12">
        <f>+Precios!Y71*Precios!Y$3</f>
        <v>0</v>
      </c>
      <c r="AD73" s="12">
        <f>+Precios!Z71*Precios!Z$3</f>
        <v>0</v>
      </c>
      <c r="AE73" s="12">
        <f>+Precios!AA71*Precios!AA$3</f>
        <v>0</v>
      </c>
      <c r="AF73" s="12">
        <f>+Precios!AB71*Precios!AB$3</f>
        <v>0</v>
      </c>
      <c r="AG73" s="12">
        <f>+Precios!AC71*Precios!AC$3</f>
        <v>0</v>
      </c>
      <c r="AH73" s="12">
        <f>+Precios!AD71*Precios!AD$3</f>
        <v>0</v>
      </c>
      <c r="AI73" s="12">
        <f>+Precios!AE71*Precios!AE$3</f>
        <v>0</v>
      </c>
      <c r="AJ73" s="12">
        <f>+Precios!AF71*Precios!AF$3</f>
        <v>0</v>
      </c>
      <c r="AK73" s="12">
        <f>+Precios!AG71*Precios!AG$3</f>
        <v>0</v>
      </c>
      <c r="AL73" s="12">
        <f>+Precios!AH71*Precios!AH$3</f>
        <v>0</v>
      </c>
      <c r="AM73" s="12">
        <f>+Precios!AI71*Precios!AI$3</f>
        <v>0</v>
      </c>
      <c r="AN73" s="12">
        <f>+Precios!AJ71*Precios!AJ$3</f>
        <v>0</v>
      </c>
      <c r="AO73" s="12">
        <f>+Precios!AK71*Precios!AK$3</f>
        <v>0</v>
      </c>
      <c r="AP73" s="12">
        <f>+Precios!AL71*Precios!AL$3</f>
        <v>0</v>
      </c>
      <c r="AQ73" s="12">
        <f>+Precios!AM71*Precios!AM$3</f>
        <v>0</v>
      </c>
      <c r="AR73" s="12">
        <f>+Precios!AN71*Precios!AN$3</f>
        <v>0</v>
      </c>
      <c r="AS73" s="12">
        <f>+Precios!AO71*Precios!AO$3</f>
        <v>0</v>
      </c>
      <c r="AT73" s="12">
        <f>+Precios!AP71*Precios!AP$3</f>
        <v>0</v>
      </c>
      <c r="AU73" s="12">
        <f>+Precios!AQ71*Precios!AQ$3</f>
        <v>0</v>
      </c>
      <c r="AV73" s="12">
        <f>+Precios!AR71*Precios!AR$3</f>
        <v>0</v>
      </c>
      <c r="AW73" s="12">
        <f>+Precios!AS71*Precios!AS$3</f>
        <v>0</v>
      </c>
      <c r="AX73" s="12">
        <f>+Precios!AT71*Precios!AT$3</f>
        <v>0</v>
      </c>
      <c r="AY73" s="12">
        <f>+Precios!AU71*$AY$3</f>
        <v>50245.159999999996</v>
      </c>
      <c r="AZ73" s="12">
        <f>+Precios!AV71*Precios!AV$3</f>
        <v>0</v>
      </c>
      <c r="BA73" s="12">
        <f>+Precios!AW71*Precios!AW$3</f>
        <v>0</v>
      </c>
      <c r="BB73" s="12">
        <f>+Precios!AX71*Precios!AX$3</f>
        <v>0</v>
      </c>
      <c r="BC73" s="12">
        <f>+Precios!AY71*Precios!AY$3</f>
        <v>0</v>
      </c>
      <c r="BD73" s="12">
        <f>+Precios!AZ71*Precios!AZ$3</f>
        <v>0</v>
      </c>
      <c r="BE73" s="12">
        <f>+Precios!BA71*Precios!BA$3</f>
        <v>0</v>
      </c>
      <c r="BF73" s="12">
        <f>+Precios!BB71*Precios!BB$3</f>
        <v>0</v>
      </c>
      <c r="BG73" s="12">
        <f>+Precios!BC71*Precios!BC$3</f>
        <v>0</v>
      </c>
      <c r="BH73" s="12">
        <f>+Precios!BD71*$BH$3</f>
        <v>0</v>
      </c>
      <c r="BI73" s="12">
        <f>+Precios!BE71*Precios!BE$3</f>
        <v>0</v>
      </c>
      <c r="BJ73" s="12">
        <f>+Precios!BF71*Precios!BF$3</f>
        <v>0</v>
      </c>
      <c r="BK73" s="12">
        <f>+Precios!BG71*Precios!BG$3</f>
        <v>0</v>
      </c>
      <c r="BL73" s="12">
        <f>+Precios!BH71*Precios!BH$3</f>
        <v>0</v>
      </c>
      <c r="BM73" s="12">
        <f>+Precios!BI71*Precios!BI$3</f>
        <v>0</v>
      </c>
      <c r="BN73" s="12">
        <f>+Precios!BJ71*$BN$3</f>
        <v>0</v>
      </c>
      <c r="BO73" s="12">
        <f>+Precios!BK71*$BO$3</f>
        <v>0</v>
      </c>
      <c r="BP73" s="12">
        <f>+Precios!BL71*Precios!BL$3</f>
        <v>0</v>
      </c>
    </row>
    <row r="74" spans="1:68" ht="15" thickBot="1">
      <c r="A74" s="5">
        <f>+SUM(F74:XFD74)</f>
        <v>56061.32</v>
      </c>
      <c r="B74" s="26"/>
      <c r="C74" s="5">
        <f t="shared" si="1"/>
        <v>53933.280000000006</v>
      </c>
      <c r="D74" s="5">
        <f>1000000+C74-Cost!A74</f>
        <v>1003933.28</v>
      </c>
      <c r="E74" s="15">
        <f>+Precios!A72</f>
        <v>46072</v>
      </c>
      <c r="F74" s="12">
        <f>+Precios!B72*Precios!B$3</f>
        <v>0</v>
      </c>
      <c r="G74" s="12">
        <f>+Precios!C72*Precios!C$3</f>
        <v>0</v>
      </c>
      <c r="H74" s="12">
        <f>+Precios!D72*Precios!D$3</f>
        <v>0</v>
      </c>
      <c r="I74" s="12">
        <f>+Precios!E72*Precios!E$3</f>
        <v>0</v>
      </c>
      <c r="J74" s="12">
        <f>+Precios!F72*Precios!F$3</f>
        <v>0</v>
      </c>
      <c r="K74" s="12">
        <f>+Precios!G72*Precios!G$3</f>
        <v>0</v>
      </c>
      <c r="L74" s="12">
        <f>+Precios!H72*Precios!H$3</f>
        <v>0</v>
      </c>
      <c r="M74" s="12">
        <f>+Precios!I72*Precios!I$3</f>
        <v>0</v>
      </c>
      <c r="N74" s="12">
        <f>+Precios!J72*Precios!J$3</f>
        <v>0</v>
      </c>
      <c r="O74" s="12">
        <f>+Precios!K72*Precios!K$3</f>
        <v>0</v>
      </c>
      <c r="P74" s="12">
        <f>+Precios!L72*Precios!L$3</f>
        <v>0</v>
      </c>
      <c r="Q74" s="12">
        <f>+Precios!M72*Precios!M$3</f>
        <v>0</v>
      </c>
      <c r="R74" s="12">
        <f>+Precios!N72*Precios!N$3</f>
        <v>0</v>
      </c>
      <c r="S74" s="12">
        <f>+Precios!O72*Precios!O$3</f>
        <v>0</v>
      </c>
      <c r="T74" s="12">
        <f>+Precios!P72*Precios!P$3</f>
        <v>0</v>
      </c>
      <c r="U74" s="12">
        <f>+Precios!Q72*Precios!Q$3</f>
        <v>0</v>
      </c>
      <c r="V74" s="12">
        <f>+Precios!R72*Precios!R$3</f>
        <v>0</v>
      </c>
      <c r="W74" s="12">
        <f>+Precios!S72*Precios!S$3</f>
        <v>0</v>
      </c>
      <c r="X74" s="12">
        <f>+Precios!T72*Precios!T$3</f>
        <v>0</v>
      </c>
      <c r="Y74" s="12">
        <f>+Precios!U72*Precios!U$3</f>
        <v>0</v>
      </c>
      <c r="Z74" s="12">
        <f>+Precios!V72*Precios!V$3</f>
        <v>0</v>
      </c>
      <c r="AA74" s="12">
        <f>+Precios!W72*Precios!W$3</f>
        <v>0</v>
      </c>
      <c r="AB74" s="12">
        <f>+Precios!X72*Precios!X$3</f>
        <v>0</v>
      </c>
      <c r="AC74" s="12">
        <f>+Precios!Y72*Precios!Y$3</f>
        <v>0</v>
      </c>
      <c r="AD74" s="12">
        <f>+Precios!Z72*Precios!Z$3</f>
        <v>0</v>
      </c>
      <c r="AE74" s="12">
        <f>+Precios!AA72*Precios!AA$3</f>
        <v>0</v>
      </c>
      <c r="AF74" s="12">
        <f>+Precios!AB72*Precios!AB$3</f>
        <v>0</v>
      </c>
      <c r="AG74" s="12">
        <f>+Precios!AC72*Precios!AC$3</f>
        <v>0</v>
      </c>
      <c r="AH74" s="12">
        <f>+Precios!AD72*Precios!AD$3</f>
        <v>0</v>
      </c>
      <c r="AI74" s="12">
        <f>+Precios!AE72*Precios!AE$3</f>
        <v>0</v>
      </c>
      <c r="AJ74" s="12">
        <f>+Precios!AF72*Precios!AF$3</f>
        <v>0</v>
      </c>
      <c r="AK74" s="12">
        <f>+Precios!AG72*Precios!AG$3</f>
        <v>0</v>
      </c>
      <c r="AL74" s="12">
        <f>+Precios!AH72*Precios!AH$3</f>
        <v>0</v>
      </c>
      <c r="AM74" s="12">
        <f>+Precios!AI72*Precios!AI$3</f>
        <v>0</v>
      </c>
      <c r="AN74" s="12">
        <f>+Precios!AJ72*Precios!AJ$3</f>
        <v>0</v>
      </c>
      <c r="AO74" s="12">
        <f>+Precios!AK72*Precios!AK$3</f>
        <v>0</v>
      </c>
      <c r="AP74" s="12">
        <f>+Precios!AL72*Precios!AL$3</f>
        <v>0</v>
      </c>
      <c r="AQ74" s="12">
        <f>+Precios!AM72*Precios!AM$3</f>
        <v>0</v>
      </c>
      <c r="AR74" s="12">
        <f>+Precios!AN72*Precios!AN$3</f>
        <v>0</v>
      </c>
      <c r="AS74" s="12">
        <f>+Precios!AO72*Precios!AO$3</f>
        <v>0</v>
      </c>
      <c r="AT74" s="12">
        <f>+Precios!AP72*Precios!AP$3</f>
        <v>0</v>
      </c>
      <c r="AU74" s="12">
        <f>+Precios!AQ72*Precios!AQ$3</f>
        <v>0</v>
      </c>
      <c r="AV74" s="12">
        <f>+Precios!AR72*Precios!AR$3</f>
        <v>0</v>
      </c>
      <c r="AW74" s="12">
        <f>+Precios!AS72*Precios!AS$3</f>
        <v>0</v>
      </c>
      <c r="AX74" s="12">
        <f>+Precios!AT72*Precios!AT$3</f>
        <v>0</v>
      </c>
      <c r="AY74" s="12">
        <f>+Precios!AU72*$AY$3</f>
        <v>56061.32</v>
      </c>
      <c r="AZ74" s="12">
        <f>+Precios!AV72*Precios!AV$3</f>
        <v>0</v>
      </c>
      <c r="BA74" s="12">
        <f>+Precios!AW72*Precios!AW$3</f>
        <v>0</v>
      </c>
      <c r="BB74" s="12">
        <f>+Precios!AX72*Precios!AX$3</f>
        <v>0</v>
      </c>
      <c r="BC74" s="12">
        <f>+Precios!AY72*Precios!AY$3</f>
        <v>0</v>
      </c>
      <c r="BD74" s="12">
        <f>+Precios!AZ72*Precios!AZ$3</f>
        <v>0</v>
      </c>
      <c r="BE74" s="12">
        <f>+Precios!BA72*Precios!BA$3</f>
        <v>0</v>
      </c>
      <c r="BF74" s="12">
        <f>+Precios!BB72*Precios!BB$3</f>
        <v>0</v>
      </c>
      <c r="BG74" s="12">
        <f>+Precios!BC72*Precios!BC$3</f>
        <v>0</v>
      </c>
      <c r="BH74" s="12">
        <f>+Precios!BD72*$BH$3</f>
        <v>0</v>
      </c>
      <c r="BI74" s="12">
        <f>+Precios!BE72*Precios!BE$3</f>
        <v>0</v>
      </c>
      <c r="BJ74" s="12">
        <f>+Precios!BF72*Precios!BF$3</f>
        <v>0</v>
      </c>
      <c r="BK74" s="12">
        <f>+Precios!BG72*Precios!BG$3</f>
        <v>0</v>
      </c>
      <c r="BL74" s="12">
        <f>+Precios!BH72*Precios!BH$3</f>
        <v>0</v>
      </c>
      <c r="BM74" s="12">
        <f>+Precios!BI72*Precios!BI$3</f>
        <v>0</v>
      </c>
      <c r="BN74" s="12">
        <f>+Precios!BJ72*$BN$3</f>
        <v>0</v>
      </c>
      <c r="BO74" s="12">
        <f>+Precios!BK72*$BO$3</f>
        <v>0</v>
      </c>
      <c r="BP74" s="12">
        <f>+Precios!BL72*Precios!BL$3</f>
        <v>0</v>
      </c>
    </row>
    <row r="75" spans="1:68" ht="15" thickBot="1">
      <c r="A75" s="5">
        <f>+SUM(F75:XFD75)</f>
        <v>55132.35</v>
      </c>
      <c r="B75" s="26"/>
      <c r="C75" s="5">
        <f t="shared" si="1"/>
        <v>53933.280000000006</v>
      </c>
      <c r="D75" s="5">
        <f>1000000+C75-Cost!A75</f>
        <v>1003933.28</v>
      </c>
      <c r="E75" s="15">
        <f>+Precios!A73</f>
        <v>46073</v>
      </c>
      <c r="F75" s="12">
        <f>+Precios!B73*Precios!B$3</f>
        <v>0</v>
      </c>
      <c r="G75" s="12">
        <f>+Precios!C73*Precios!C$3</f>
        <v>0</v>
      </c>
      <c r="H75" s="12">
        <f>+Precios!D73*Precios!D$3</f>
        <v>0</v>
      </c>
      <c r="I75" s="12">
        <f>+Precios!E73*Precios!E$3</f>
        <v>0</v>
      </c>
      <c r="J75" s="12">
        <f>+Precios!F73*Precios!F$3</f>
        <v>0</v>
      </c>
      <c r="K75" s="12">
        <f>+Precios!G73*Precios!G$3</f>
        <v>0</v>
      </c>
      <c r="L75" s="12">
        <f>+Precios!H73*Precios!H$3</f>
        <v>0</v>
      </c>
      <c r="M75" s="12">
        <f>+Precios!I73*Precios!I$3</f>
        <v>0</v>
      </c>
      <c r="N75" s="12">
        <f>+Precios!J73*Precios!J$3</f>
        <v>0</v>
      </c>
      <c r="O75" s="12">
        <f>+Precios!K73*Precios!K$3</f>
        <v>0</v>
      </c>
      <c r="P75" s="12">
        <f>+Precios!L73*Precios!L$3</f>
        <v>0</v>
      </c>
      <c r="Q75" s="12">
        <f>+Precios!M73*Precios!M$3</f>
        <v>0</v>
      </c>
      <c r="R75" s="12">
        <f>+Precios!N73*Precios!N$3</f>
        <v>0</v>
      </c>
      <c r="S75" s="12">
        <f>+Precios!O73*Precios!O$3</f>
        <v>0</v>
      </c>
      <c r="T75" s="12">
        <f>+Precios!P73*Precios!P$3</f>
        <v>0</v>
      </c>
      <c r="U75" s="12">
        <f>+Precios!Q73*Precios!Q$3</f>
        <v>0</v>
      </c>
      <c r="V75" s="12">
        <f>+Precios!R73*Precios!R$3</f>
        <v>0</v>
      </c>
      <c r="W75" s="12">
        <f>+Precios!S73*Precios!S$3</f>
        <v>0</v>
      </c>
      <c r="X75" s="12">
        <f>+Precios!T73*Precios!T$3</f>
        <v>0</v>
      </c>
      <c r="Y75" s="12">
        <f>+Precios!U73*Precios!U$3</f>
        <v>0</v>
      </c>
      <c r="Z75" s="12">
        <f>+Precios!V73*Precios!V$3</f>
        <v>0</v>
      </c>
      <c r="AA75" s="12">
        <f>+Precios!W73*Precios!W$3</f>
        <v>0</v>
      </c>
      <c r="AB75" s="12">
        <f>+Precios!X73*Precios!X$3</f>
        <v>0</v>
      </c>
      <c r="AC75" s="12">
        <f>+Precios!Y73*Precios!Y$3</f>
        <v>0</v>
      </c>
      <c r="AD75" s="12">
        <f>+Precios!Z73*Precios!Z$3</f>
        <v>0</v>
      </c>
      <c r="AE75" s="12">
        <f>+Precios!AA73*Precios!AA$3</f>
        <v>0</v>
      </c>
      <c r="AF75" s="12">
        <f>+Precios!AB73*Precios!AB$3</f>
        <v>0</v>
      </c>
      <c r="AG75" s="12">
        <f>+Precios!AC73*Precios!AC$3</f>
        <v>0</v>
      </c>
      <c r="AH75" s="12">
        <f>+Precios!AD73*Precios!AD$3</f>
        <v>0</v>
      </c>
      <c r="AI75" s="12">
        <f>+Precios!AE73*Precios!AE$3</f>
        <v>0</v>
      </c>
      <c r="AJ75" s="12">
        <f>+Precios!AF73*Precios!AF$3</f>
        <v>0</v>
      </c>
      <c r="AK75" s="12">
        <f>+Precios!AG73*Precios!AG$3</f>
        <v>0</v>
      </c>
      <c r="AL75" s="12">
        <f>+Precios!AH73*Precios!AH$3</f>
        <v>0</v>
      </c>
      <c r="AM75" s="12">
        <f>+Precios!AI73*Precios!AI$3</f>
        <v>0</v>
      </c>
      <c r="AN75" s="12">
        <f>+Precios!AJ73*Precios!AJ$3</f>
        <v>0</v>
      </c>
      <c r="AO75" s="12">
        <f>+Precios!AK73*Precios!AK$3</f>
        <v>0</v>
      </c>
      <c r="AP75" s="12">
        <f>+Precios!AL73*Precios!AL$3</f>
        <v>0</v>
      </c>
      <c r="AQ75" s="12">
        <f>+Precios!AM73*Precios!AM$3</f>
        <v>0</v>
      </c>
      <c r="AR75" s="12">
        <f>+Precios!AN73*Precios!AN$3</f>
        <v>0</v>
      </c>
      <c r="AS75" s="12">
        <f>+Precios!AO73*Precios!AO$3</f>
        <v>0</v>
      </c>
      <c r="AT75" s="12">
        <f>+Precios!AP73*Precios!AP$3</f>
        <v>0</v>
      </c>
      <c r="AU75" s="12">
        <f>+Precios!AQ73*Precios!AQ$3</f>
        <v>0</v>
      </c>
      <c r="AV75" s="12">
        <f>+Precios!AR73*Precios!AR$3</f>
        <v>0</v>
      </c>
      <c r="AW75" s="12">
        <f>+Precios!AS73*Precios!AS$3</f>
        <v>0</v>
      </c>
      <c r="AX75" s="12">
        <f>+Precios!AT73*Precios!AT$3</f>
        <v>0</v>
      </c>
      <c r="AY75" s="12">
        <f>+Precios!AU73*$AY$3</f>
        <v>55132.35</v>
      </c>
      <c r="AZ75" s="12">
        <f>+Precios!AV73*Precios!AV$3</f>
        <v>0</v>
      </c>
      <c r="BA75" s="12">
        <f>+Precios!AW73*Precios!AW$3</f>
        <v>0</v>
      </c>
      <c r="BB75" s="12">
        <f>+Precios!AX73*Precios!AX$3</f>
        <v>0</v>
      </c>
      <c r="BC75" s="12">
        <f>+Precios!AY73*Precios!AY$3</f>
        <v>0</v>
      </c>
      <c r="BD75" s="12">
        <f>+Precios!AZ73*Precios!AZ$3</f>
        <v>0</v>
      </c>
      <c r="BE75" s="12">
        <f>+Precios!BA73*Precios!BA$3</f>
        <v>0</v>
      </c>
      <c r="BF75" s="12">
        <f>+Precios!BB73*Precios!BB$3</f>
        <v>0</v>
      </c>
      <c r="BG75" s="12">
        <f>+Precios!BC73*Precios!BC$3</f>
        <v>0</v>
      </c>
      <c r="BH75" s="12">
        <f>+Precios!BD73*$BH$3</f>
        <v>0</v>
      </c>
      <c r="BI75" s="12">
        <f>+Precios!BE73*Precios!BE$3</f>
        <v>0</v>
      </c>
      <c r="BJ75" s="12">
        <f>+Precios!BF73*Precios!BF$3</f>
        <v>0</v>
      </c>
      <c r="BK75" s="12">
        <f>+Precios!BG73*Precios!BG$3</f>
        <v>0</v>
      </c>
      <c r="BL75" s="12">
        <f>+Precios!BH73*Precios!BH$3</f>
        <v>0</v>
      </c>
      <c r="BM75" s="12">
        <f>+Precios!BI73*Precios!BI$3</f>
        <v>0</v>
      </c>
      <c r="BN75" s="12">
        <f>+Precios!BJ73*$BN$3</f>
        <v>0</v>
      </c>
      <c r="BO75" s="12">
        <f>+Precios!BK73*$BO$3</f>
        <v>0</v>
      </c>
      <c r="BP75" s="12">
        <f>+Precios!BL73*Precios!BL$3</f>
        <v>0</v>
      </c>
    </row>
    <row r="76" spans="1:68" ht="15" thickBot="1">
      <c r="A76" s="5">
        <f>+SUM(F76:XFD76)</f>
        <v>56505.61</v>
      </c>
      <c r="B76" s="26"/>
      <c r="C76" s="5">
        <f t="shared" si="1"/>
        <v>53933.280000000006</v>
      </c>
      <c r="D76" s="5">
        <f>1000000+C76-Cost!A76</f>
        <v>1003933.28</v>
      </c>
      <c r="E76" s="15">
        <f>+Precios!A74</f>
        <v>46076</v>
      </c>
      <c r="F76" s="12">
        <f>+Precios!B74*Precios!B$3</f>
        <v>0</v>
      </c>
      <c r="G76" s="12">
        <f>+Precios!C74*Precios!C$3</f>
        <v>0</v>
      </c>
      <c r="H76" s="12">
        <f>+Precios!D74*Precios!D$3</f>
        <v>0</v>
      </c>
      <c r="I76" s="12">
        <f>+Precios!E74*Precios!E$3</f>
        <v>0</v>
      </c>
      <c r="J76" s="12">
        <f>+Precios!F74*Precios!F$3</f>
        <v>0</v>
      </c>
      <c r="K76" s="12">
        <f>+Precios!G74*Precios!G$3</f>
        <v>0</v>
      </c>
      <c r="L76" s="12">
        <f>+Precios!H74*Precios!H$3</f>
        <v>0</v>
      </c>
      <c r="M76" s="12">
        <f>+Precios!I74*Precios!I$3</f>
        <v>0</v>
      </c>
      <c r="N76" s="12">
        <f>+Precios!J74*Precios!J$3</f>
        <v>0</v>
      </c>
      <c r="O76" s="12">
        <f>+Precios!K74*Precios!K$3</f>
        <v>0</v>
      </c>
      <c r="P76" s="12">
        <f>+Precios!L74*Precios!L$3</f>
        <v>0</v>
      </c>
      <c r="Q76" s="12">
        <f>+Precios!M74*Precios!M$3</f>
        <v>0</v>
      </c>
      <c r="R76" s="12">
        <f>+Precios!N74*Precios!N$3</f>
        <v>0</v>
      </c>
      <c r="S76" s="12">
        <f>+Precios!O74*Precios!O$3</f>
        <v>0</v>
      </c>
      <c r="T76" s="12">
        <f>+Precios!P74*Precios!P$3</f>
        <v>0</v>
      </c>
      <c r="U76" s="12">
        <f>+Precios!Q74*Precios!Q$3</f>
        <v>0</v>
      </c>
      <c r="V76" s="12">
        <f>+Precios!R74*Precios!R$3</f>
        <v>0</v>
      </c>
      <c r="W76" s="12">
        <f>+Precios!S74*Precios!S$3</f>
        <v>0</v>
      </c>
      <c r="X76" s="12">
        <f>+Precios!T74*Precios!T$3</f>
        <v>0</v>
      </c>
      <c r="Y76" s="12">
        <f>+Precios!U74*Precios!U$3</f>
        <v>0</v>
      </c>
      <c r="Z76" s="12">
        <f>+Precios!V74*Precios!V$3</f>
        <v>0</v>
      </c>
      <c r="AA76" s="12">
        <f>+Precios!W74*Precios!W$3</f>
        <v>0</v>
      </c>
      <c r="AB76" s="12">
        <f>+Precios!X74*Precios!X$3</f>
        <v>0</v>
      </c>
      <c r="AC76" s="12">
        <f>+Precios!Y74*Precios!Y$3</f>
        <v>0</v>
      </c>
      <c r="AD76" s="12">
        <f>+Precios!Z74*Precios!Z$3</f>
        <v>0</v>
      </c>
      <c r="AE76" s="12">
        <f>+Precios!AA74*Precios!AA$3</f>
        <v>0</v>
      </c>
      <c r="AF76" s="12">
        <f>+Precios!AB74*Precios!AB$3</f>
        <v>0</v>
      </c>
      <c r="AG76" s="12">
        <f>+Precios!AC74*Precios!AC$3</f>
        <v>0</v>
      </c>
      <c r="AH76" s="12">
        <f>+Precios!AD74*Precios!AD$3</f>
        <v>0</v>
      </c>
      <c r="AI76" s="12">
        <f>+Precios!AE74*Precios!AE$3</f>
        <v>0</v>
      </c>
      <c r="AJ76" s="12">
        <f>+Precios!AF74*Precios!AF$3</f>
        <v>0</v>
      </c>
      <c r="AK76" s="12">
        <f>+Precios!AG74*Precios!AG$3</f>
        <v>0</v>
      </c>
      <c r="AL76" s="12">
        <f>+Precios!AH74*Precios!AH$3</f>
        <v>0</v>
      </c>
      <c r="AM76" s="12">
        <f>+Precios!AI74*Precios!AI$3</f>
        <v>0</v>
      </c>
      <c r="AN76" s="12">
        <f>+Precios!AJ74*Precios!AJ$3</f>
        <v>0</v>
      </c>
      <c r="AO76" s="12">
        <f>+Precios!AK74*Precios!AK$3</f>
        <v>0</v>
      </c>
      <c r="AP76" s="12">
        <f>+Precios!AL74*Precios!AL$3</f>
        <v>0</v>
      </c>
      <c r="AQ76" s="12">
        <f>+Precios!AM74*Precios!AM$3</f>
        <v>0</v>
      </c>
      <c r="AR76" s="12">
        <f>+Precios!AN74*Precios!AN$3</f>
        <v>0</v>
      </c>
      <c r="AS76" s="12">
        <f>+Precios!AO74*Precios!AO$3</f>
        <v>0</v>
      </c>
      <c r="AT76" s="12">
        <f>+Precios!AP74*Precios!AP$3</f>
        <v>0</v>
      </c>
      <c r="AU76" s="12">
        <f>+Precios!AQ74*Precios!AQ$3</f>
        <v>0</v>
      </c>
      <c r="AV76" s="12">
        <f>+Precios!AR74*Precios!AR$3</f>
        <v>0</v>
      </c>
      <c r="AW76" s="12">
        <f>+Precios!AS74*Precios!AS$3</f>
        <v>0</v>
      </c>
      <c r="AX76" s="12">
        <f>+Precios!AT74*Precios!AT$3</f>
        <v>0</v>
      </c>
      <c r="AY76" s="12">
        <f>+Precios!AU74*$AY$3</f>
        <v>56505.61</v>
      </c>
      <c r="AZ76" s="12">
        <f>+Precios!AV74*Precios!AV$3</f>
        <v>0</v>
      </c>
      <c r="BA76" s="12">
        <f>+Precios!AW74*Precios!AW$3</f>
        <v>0</v>
      </c>
      <c r="BB76" s="12">
        <f>+Precios!AX74*Precios!AX$3</f>
        <v>0</v>
      </c>
      <c r="BC76" s="12">
        <f>+Precios!AY74*Precios!AY$3</f>
        <v>0</v>
      </c>
      <c r="BD76" s="12">
        <f>+Precios!AZ74*Precios!AZ$3</f>
        <v>0</v>
      </c>
      <c r="BE76" s="12">
        <f>+Precios!BA74*Precios!BA$3</f>
        <v>0</v>
      </c>
      <c r="BF76" s="12">
        <f>+Precios!BB74*Precios!BB$3</f>
        <v>0</v>
      </c>
      <c r="BG76" s="12">
        <f>+Precios!BC74*Precios!BC$3</f>
        <v>0</v>
      </c>
      <c r="BH76" s="12">
        <f>+Precios!BD74*$BH$3</f>
        <v>0</v>
      </c>
      <c r="BI76" s="12">
        <f>+Precios!BE74*Precios!BE$3</f>
        <v>0</v>
      </c>
      <c r="BJ76" s="12">
        <f>+Precios!BF74*Precios!BF$3</f>
        <v>0</v>
      </c>
      <c r="BK76" s="12">
        <f>+Precios!BG74*Precios!BG$3</f>
        <v>0</v>
      </c>
      <c r="BL76" s="12">
        <f>+Precios!BH74*Precios!BH$3</f>
        <v>0</v>
      </c>
      <c r="BM76" s="12">
        <f>+Precios!BI74*Precios!BI$3</f>
        <v>0</v>
      </c>
      <c r="BN76" s="12">
        <f>+Precios!BJ74*$BN$3</f>
        <v>0</v>
      </c>
      <c r="BO76" s="12">
        <f>+Precios!BK74*$BO$3</f>
        <v>0</v>
      </c>
      <c r="BP76" s="12">
        <f>+Precios!BL74*Precios!BL$3</f>
        <v>0</v>
      </c>
    </row>
    <row r="77" spans="1:68" ht="15" thickBot="1">
      <c r="A77" s="5">
        <f>+SUM(F77:XFD77)</f>
        <v>57636.53</v>
      </c>
      <c r="B77" s="26"/>
      <c r="C77" s="5">
        <f t="shared" si="1"/>
        <v>53933.280000000006</v>
      </c>
      <c r="D77" s="5">
        <f>1000000+C77-Cost!A77</f>
        <v>1003933.28</v>
      </c>
      <c r="E77" s="15">
        <f>+Precios!A75</f>
        <v>46077</v>
      </c>
      <c r="F77" s="12">
        <f>+Precios!B75*Precios!B$3</f>
        <v>0</v>
      </c>
      <c r="G77" s="12">
        <f>+Precios!C75*Precios!C$3</f>
        <v>0</v>
      </c>
      <c r="H77" s="12">
        <f>+Precios!D75*Precios!D$3</f>
        <v>0</v>
      </c>
      <c r="I77" s="12">
        <f>+Precios!E75*Precios!E$3</f>
        <v>0</v>
      </c>
      <c r="J77" s="12">
        <f>+Precios!F75*Precios!F$3</f>
        <v>0</v>
      </c>
      <c r="K77" s="12">
        <f>+Precios!G75*Precios!G$3</f>
        <v>0</v>
      </c>
      <c r="L77" s="12">
        <f>+Precios!H75*Precios!H$3</f>
        <v>0</v>
      </c>
      <c r="M77" s="12">
        <f>+Precios!I75*Precios!I$3</f>
        <v>0</v>
      </c>
      <c r="N77" s="12">
        <f>+Precios!J75*Precios!J$3</f>
        <v>0</v>
      </c>
      <c r="O77" s="12">
        <f>+Precios!K75*Precios!K$3</f>
        <v>0</v>
      </c>
      <c r="P77" s="12">
        <f>+Precios!L75*Precios!L$3</f>
        <v>0</v>
      </c>
      <c r="Q77" s="12">
        <f>+Precios!M75*Precios!M$3</f>
        <v>0</v>
      </c>
      <c r="R77" s="12">
        <f>+Precios!N75*Precios!N$3</f>
        <v>0</v>
      </c>
      <c r="S77" s="12">
        <f>+Precios!O75*Precios!O$3</f>
        <v>0</v>
      </c>
      <c r="T77" s="12">
        <f>+Precios!P75*Precios!P$3</f>
        <v>0</v>
      </c>
      <c r="U77" s="12">
        <f>+Precios!Q75*Precios!Q$3</f>
        <v>0</v>
      </c>
      <c r="V77" s="12">
        <f>+Precios!R75*Precios!R$3</f>
        <v>0</v>
      </c>
      <c r="W77" s="12">
        <f>+Precios!S75*Precios!S$3</f>
        <v>0</v>
      </c>
      <c r="X77" s="12">
        <f>+Precios!T75*Precios!T$3</f>
        <v>0</v>
      </c>
      <c r="Y77" s="12">
        <f>+Precios!U75*Precios!U$3</f>
        <v>0</v>
      </c>
      <c r="Z77" s="12">
        <f>+Precios!V75*Precios!V$3</f>
        <v>0</v>
      </c>
      <c r="AA77" s="12">
        <f>+Precios!W75*Precios!W$3</f>
        <v>0</v>
      </c>
      <c r="AB77" s="12">
        <f>+Precios!X75*Precios!X$3</f>
        <v>0</v>
      </c>
      <c r="AC77" s="12">
        <f>+Precios!Y75*Precios!Y$3</f>
        <v>0</v>
      </c>
      <c r="AD77" s="12">
        <f>+Precios!Z75*Precios!Z$3</f>
        <v>0</v>
      </c>
      <c r="AE77" s="12">
        <f>+Precios!AA75*Precios!AA$3</f>
        <v>0</v>
      </c>
      <c r="AF77" s="12">
        <f>+Precios!AB75*Precios!AB$3</f>
        <v>0</v>
      </c>
      <c r="AG77" s="12">
        <f>+Precios!AC75*Precios!AC$3</f>
        <v>0</v>
      </c>
      <c r="AH77" s="12">
        <f>+Precios!AD75*Precios!AD$3</f>
        <v>0</v>
      </c>
      <c r="AI77" s="12">
        <f>+Precios!AE75*Precios!AE$3</f>
        <v>0</v>
      </c>
      <c r="AJ77" s="12">
        <f>+Precios!AF75*Precios!AF$3</f>
        <v>0</v>
      </c>
      <c r="AK77" s="12">
        <f>+Precios!AG75*Precios!AG$3</f>
        <v>0</v>
      </c>
      <c r="AL77" s="12">
        <f>+Precios!AH75*Precios!AH$3</f>
        <v>0</v>
      </c>
      <c r="AM77" s="12">
        <f>+Precios!AI75*Precios!AI$3</f>
        <v>0</v>
      </c>
      <c r="AN77" s="12">
        <f>+Precios!AJ75*Precios!AJ$3</f>
        <v>0</v>
      </c>
      <c r="AO77" s="12">
        <f>+Precios!AK75*Precios!AK$3</f>
        <v>0</v>
      </c>
      <c r="AP77" s="12">
        <f>+Precios!AL75*Precios!AL$3</f>
        <v>0</v>
      </c>
      <c r="AQ77" s="12">
        <f>+Precios!AM75*Precios!AM$3</f>
        <v>0</v>
      </c>
      <c r="AR77" s="12">
        <f>+Precios!AN75*Precios!AN$3</f>
        <v>0</v>
      </c>
      <c r="AS77" s="12">
        <f>+Precios!AO75*Precios!AO$3</f>
        <v>0</v>
      </c>
      <c r="AT77" s="12">
        <f>+Precios!AP75*Precios!AP$3</f>
        <v>0</v>
      </c>
      <c r="AU77" s="12">
        <f>+Precios!AQ75*Precios!AQ$3</f>
        <v>0</v>
      </c>
      <c r="AV77" s="12">
        <f>+Precios!AR75*Precios!AR$3</f>
        <v>0</v>
      </c>
      <c r="AW77" s="12">
        <f>+Precios!AS75*Precios!AS$3</f>
        <v>0</v>
      </c>
      <c r="AX77" s="12">
        <f>+Precios!AT75*Precios!AT$3</f>
        <v>0</v>
      </c>
      <c r="AY77" s="12">
        <f>+Precios!AU75*$AY$3</f>
        <v>57636.53</v>
      </c>
      <c r="AZ77" s="12">
        <f>+Precios!AV75*Precios!AV$3</f>
        <v>0</v>
      </c>
      <c r="BA77" s="12">
        <f>+Precios!AW75*Precios!AW$3</f>
        <v>0</v>
      </c>
      <c r="BB77" s="12">
        <f>+Precios!AX75*Precios!AX$3</f>
        <v>0</v>
      </c>
      <c r="BC77" s="12">
        <f>+Precios!AY75*Precios!AY$3</f>
        <v>0</v>
      </c>
      <c r="BD77" s="12">
        <f>+Precios!AZ75*Precios!AZ$3</f>
        <v>0</v>
      </c>
      <c r="BE77" s="12">
        <f>+Precios!BA75*Precios!BA$3</f>
        <v>0</v>
      </c>
      <c r="BF77" s="12">
        <f>+Precios!BB75*Precios!BB$3</f>
        <v>0</v>
      </c>
      <c r="BG77" s="12">
        <f>+Precios!BC75*Precios!BC$3</f>
        <v>0</v>
      </c>
      <c r="BH77" s="12">
        <f>+Precios!BD75*$BH$3</f>
        <v>0</v>
      </c>
      <c r="BI77" s="12">
        <f>+Precios!BE75*Precios!BE$3</f>
        <v>0</v>
      </c>
      <c r="BJ77" s="12">
        <f>+Precios!BF75*Precios!BF$3</f>
        <v>0</v>
      </c>
      <c r="BK77" s="12">
        <f>+Precios!BG75*Precios!BG$3</f>
        <v>0</v>
      </c>
      <c r="BL77" s="12">
        <f>+Precios!BH75*Precios!BH$3</f>
        <v>0</v>
      </c>
      <c r="BM77" s="12">
        <f>+Precios!BI75*Precios!BI$3</f>
        <v>0</v>
      </c>
      <c r="BN77" s="12">
        <f>+Precios!BJ75*$BN$3</f>
        <v>0</v>
      </c>
      <c r="BO77" s="12">
        <f>+Precios!BK75*$BO$3</f>
        <v>0</v>
      </c>
      <c r="BP77" s="12">
        <f>+Precios!BL75*Precios!BL$3</f>
        <v>0</v>
      </c>
    </row>
    <row r="78" spans="1:68" ht="15" thickBot="1">
      <c r="A78" s="5">
        <f>+SUM(F78:XFD78)</f>
        <v>58000.04</v>
      </c>
      <c r="B78" s="26">
        <f>+TRACK!M46</f>
        <v>-3924.8799999999951</v>
      </c>
      <c r="C78" s="5">
        <f t="shared" si="1"/>
        <v>50008.400000000009</v>
      </c>
      <c r="D78" s="5">
        <f>1000000+C78-Cost!A78</f>
        <v>1000008.3999999999</v>
      </c>
      <c r="E78" s="15">
        <f>+Precios!A76</f>
        <v>46078</v>
      </c>
      <c r="F78" s="12">
        <f>+Precios!B76*Precios!B$3</f>
        <v>0</v>
      </c>
      <c r="G78" s="12">
        <f>+Precios!C76*Precios!C$3</f>
        <v>0</v>
      </c>
      <c r="H78" s="12">
        <f>+Precios!D76*Precios!D$3</f>
        <v>0</v>
      </c>
      <c r="I78" s="12">
        <f>+Precios!E76*Precios!E$3</f>
        <v>0</v>
      </c>
      <c r="J78" s="12">
        <f>+Precios!F76*Precios!F$3</f>
        <v>0</v>
      </c>
      <c r="K78" s="12">
        <f>+Precios!G76*Precios!G$3</f>
        <v>0</v>
      </c>
      <c r="L78" s="12">
        <f>+Precios!H76*Precios!H$3</f>
        <v>0</v>
      </c>
      <c r="M78" s="12">
        <f>+Precios!I76*Precios!I$3</f>
        <v>0</v>
      </c>
      <c r="N78" s="12">
        <f>+Precios!J76*Precios!J$3</f>
        <v>0</v>
      </c>
      <c r="O78" s="12">
        <f>+Precios!K76*Precios!K$3</f>
        <v>0</v>
      </c>
      <c r="P78" s="12">
        <f>+Precios!L76*Precios!L$3</f>
        <v>0</v>
      </c>
      <c r="Q78" s="12">
        <f>+Precios!M76*Precios!M$3</f>
        <v>0</v>
      </c>
      <c r="R78" s="12">
        <f>+Precios!N76*Precios!N$3</f>
        <v>0</v>
      </c>
      <c r="S78" s="12">
        <f>+Precios!O76*Precios!O$3</f>
        <v>0</v>
      </c>
      <c r="T78" s="12">
        <f>+Precios!P76*Precios!P$3</f>
        <v>0</v>
      </c>
      <c r="U78" s="12">
        <f>+Precios!Q76*Precios!Q$3</f>
        <v>0</v>
      </c>
      <c r="V78" s="12">
        <f>+Precios!R76*Precios!R$3</f>
        <v>0</v>
      </c>
      <c r="W78" s="12">
        <f>+Precios!S76*Precios!S$3</f>
        <v>0</v>
      </c>
      <c r="X78" s="12">
        <f>+Precios!T76*Precios!T$3</f>
        <v>0</v>
      </c>
      <c r="Y78" s="12">
        <f>+Precios!U76*Precios!U$3</f>
        <v>0</v>
      </c>
      <c r="Z78" s="12">
        <f>+Precios!V76*Precios!V$3</f>
        <v>0</v>
      </c>
      <c r="AA78" s="12">
        <f>+Precios!W76*Precios!W$3</f>
        <v>0</v>
      </c>
      <c r="AB78" s="12">
        <f>+Precios!X76*Precios!X$3</f>
        <v>0</v>
      </c>
      <c r="AC78" s="12">
        <f>+Precios!Y76*Precios!Y$3</f>
        <v>0</v>
      </c>
      <c r="AD78" s="12">
        <f>+Precios!Z76*Precios!Z$3</f>
        <v>0</v>
      </c>
      <c r="AE78" s="12">
        <f>+Precios!AA76*Precios!AA$3</f>
        <v>0</v>
      </c>
      <c r="AF78" s="12">
        <f>+Precios!AB76*Precios!AB$3</f>
        <v>0</v>
      </c>
      <c r="AG78" s="12">
        <f>+Precios!AC76*Precios!AC$3</f>
        <v>0</v>
      </c>
      <c r="AH78" s="12">
        <f>+Precios!AD76*Precios!AD$3</f>
        <v>0</v>
      </c>
      <c r="AI78" s="12">
        <f>+Precios!AE76*Precios!AE$3</f>
        <v>0</v>
      </c>
      <c r="AJ78" s="12">
        <f>+Precios!AF76*Precios!AF$3</f>
        <v>0</v>
      </c>
      <c r="AK78" s="12">
        <f>+Precios!AG76*Precios!AG$3</f>
        <v>0</v>
      </c>
      <c r="AL78" s="12">
        <f>+Precios!AH76*Precios!AH$3</f>
        <v>0</v>
      </c>
      <c r="AM78" s="12">
        <f>+Precios!AI76*Precios!AI$3</f>
        <v>0</v>
      </c>
      <c r="AN78" s="12">
        <f>+Precios!AJ76*Precios!AJ$3</f>
        <v>0</v>
      </c>
      <c r="AO78" s="12">
        <f>+Precios!AK76*Precios!AK$3</f>
        <v>0</v>
      </c>
      <c r="AP78" s="12">
        <f>+Precios!AL76*Precios!AL$3</f>
        <v>0</v>
      </c>
      <c r="AQ78" s="12">
        <f>+Precios!AM76*Precios!AM$3</f>
        <v>0</v>
      </c>
      <c r="AR78" s="12">
        <f>+Precios!AN76*Precios!AN$3</f>
        <v>0</v>
      </c>
      <c r="AS78" s="12">
        <f>+Precios!AO76*Precios!AO$3</f>
        <v>0</v>
      </c>
      <c r="AT78" s="12">
        <f>+Precios!AP76*Precios!AP$3</f>
        <v>0</v>
      </c>
      <c r="AU78" s="12">
        <f>+Precios!AQ76*Precios!AQ$3</f>
        <v>0</v>
      </c>
      <c r="AV78" s="12">
        <f>+Precios!AR76*Precios!AR$3</f>
        <v>0</v>
      </c>
      <c r="AW78" s="12">
        <f>+Precios!AS76*Precios!AS$3</f>
        <v>0</v>
      </c>
      <c r="AX78" s="12">
        <f>+Precios!AT76*Precios!AT$3</f>
        <v>0</v>
      </c>
      <c r="AY78" s="12">
        <f>+Precios!AU76*$AY$3</f>
        <v>58000.04</v>
      </c>
      <c r="AZ78" s="12">
        <f>+Precios!AV76*Precios!AV$3</f>
        <v>0</v>
      </c>
      <c r="BA78" s="12">
        <f>+Precios!AW76*Precios!AW$3</f>
        <v>0</v>
      </c>
      <c r="BB78" s="12">
        <f>+Precios!AX76*Precios!AX$3</f>
        <v>0</v>
      </c>
      <c r="BC78" s="12">
        <f>+Precios!AY76*Precios!AY$3</f>
        <v>0</v>
      </c>
      <c r="BD78" s="12">
        <f>+Precios!AZ76*Precios!AZ$3</f>
        <v>0</v>
      </c>
      <c r="BE78" s="12">
        <f>+Precios!BA76*Precios!BA$3</f>
        <v>0</v>
      </c>
      <c r="BF78" s="12">
        <f>+Precios!BB76*Precios!BB$3</f>
        <v>0</v>
      </c>
      <c r="BG78" s="12">
        <f>+Precios!BC76*Precios!BC$3</f>
        <v>0</v>
      </c>
      <c r="BH78" s="12">
        <f>+Precios!BD76*$BH$3</f>
        <v>0</v>
      </c>
      <c r="BI78" s="12">
        <f>+Precios!BE76*Precios!BE$3</f>
        <v>0</v>
      </c>
      <c r="BJ78" s="12">
        <f>+Precios!BF76*Precios!BF$3</f>
        <v>0</v>
      </c>
      <c r="BK78" s="12">
        <f>+Precios!BG76*Precios!BG$3</f>
        <v>0</v>
      </c>
      <c r="BL78" s="12">
        <f>+Precios!BH76*Precios!BH$3</f>
        <v>0</v>
      </c>
      <c r="BM78" s="12">
        <f>+Precios!BI76*Precios!BI$3</f>
        <v>0</v>
      </c>
      <c r="BN78" s="12">
        <f>+Precios!BJ76*$BN$3</f>
        <v>0</v>
      </c>
      <c r="BO78" s="12">
        <f>+Precios!BK76*$BO$3</f>
        <v>0</v>
      </c>
      <c r="BP78" s="12">
        <f>+Precios!BL76*Precios!BL$3</f>
        <v>0</v>
      </c>
    </row>
    <row r="79" spans="1:68" ht="15" thickBot="1">
      <c r="A79" s="5">
        <f>+SUM(F79:XFD79)</f>
        <v>61433.19</v>
      </c>
      <c r="B79" s="26"/>
      <c r="C79" s="5">
        <f t="shared" si="1"/>
        <v>50008.400000000009</v>
      </c>
      <c r="D79" s="5">
        <f>1000000+C79-Cost!A79</f>
        <v>1000008.3999999999</v>
      </c>
      <c r="E79" s="15">
        <f>+Precios!A77</f>
        <v>46079</v>
      </c>
      <c r="F79" s="12">
        <f>+Precios!B77*Precios!B$3</f>
        <v>0</v>
      </c>
      <c r="G79" s="12">
        <f>+Precios!C77*Precios!C$3</f>
        <v>0</v>
      </c>
      <c r="H79" s="12">
        <f>+Precios!D77*Precios!D$3</f>
        <v>0</v>
      </c>
      <c r="I79" s="12">
        <f>+Precios!E77*Precios!E$3</f>
        <v>0</v>
      </c>
      <c r="J79" s="12">
        <f>+Precios!F77*Precios!F$3</f>
        <v>0</v>
      </c>
      <c r="K79" s="12">
        <f>+Precios!G77*Precios!G$3</f>
        <v>0</v>
      </c>
      <c r="L79" s="12">
        <f>+Precios!H77*Precios!H$3</f>
        <v>0</v>
      </c>
      <c r="M79" s="12">
        <f>+Precios!I77*Precios!I$3</f>
        <v>0</v>
      </c>
      <c r="N79" s="12">
        <f>+Precios!J77*Precios!J$3</f>
        <v>0</v>
      </c>
      <c r="O79" s="12">
        <f>+Precios!K77*Precios!K$3</f>
        <v>0</v>
      </c>
      <c r="P79" s="12">
        <f>+Precios!L77*Precios!L$3</f>
        <v>0</v>
      </c>
      <c r="Q79" s="12">
        <f>+Precios!M77*Precios!M$3</f>
        <v>0</v>
      </c>
      <c r="R79" s="12">
        <f>+Precios!N77*Precios!N$3</f>
        <v>0</v>
      </c>
      <c r="S79" s="12">
        <f>+Precios!O77*Precios!O$3</f>
        <v>0</v>
      </c>
      <c r="T79" s="12">
        <f>+Precios!P77*Precios!P$3</f>
        <v>0</v>
      </c>
      <c r="U79" s="12">
        <f>+Precios!Q77*Precios!Q$3</f>
        <v>0</v>
      </c>
      <c r="V79" s="12">
        <f>+Precios!R77*Precios!R$3</f>
        <v>0</v>
      </c>
      <c r="W79" s="12">
        <f>+Precios!S77*Precios!S$3</f>
        <v>0</v>
      </c>
      <c r="X79" s="12">
        <f>+Precios!T77*Precios!T$3</f>
        <v>0</v>
      </c>
      <c r="Y79" s="12">
        <f>+Precios!U77*Precios!U$3</f>
        <v>0</v>
      </c>
      <c r="Z79" s="12">
        <f>+Precios!V77*Precios!V$3</f>
        <v>0</v>
      </c>
      <c r="AA79" s="12">
        <f>+Precios!W77*Precios!W$3</f>
        <v>0</v>
      </c>
      <c r="AB79" s="12">
        <f>+Precios!X77*Precios!X$3</f>
        <v>0</v>
      </c>
      <c r="AC79" s="12">
        <f>+Precios!Y77*Precios!Y$3</f>
        <v>0</v>
      </c>
      <c r="AD79" s="12">
        <f>+Precios!Z77*Precios!Z$3</f>
        <v>0</v>
      </c>
      <c r="AE79" s="12">
        <f>+Precios!AA77*Precios!AA$3</f>
        <v>0</v>
      </c>
      <c r="AF79" s="12">
        <f>+Precios!AB77*Precios!AB$3</f>
        <v>0</v>
      </c>
      <c r="AG79" s="12">
        <f>+Precios!AC77*Precios!AC$3</f>
        <v>0</v>
      </c>
      <c r="AH79" s="12">
        <f>+Precios!AD77*Precios!AD$3</f>
        <v>0</v>
      </c>
      <c r="AI79" s="12">
        <f>+Precios!AE77*Precios!AE$3</f>
        <v>0</v>
      </c>
      <c r="AJ79" s="12">
        <f>+Precios!AF77*Precios!AF$3</f>
        <v>0</v>
      </c>
      <c r="AK79" s="12">
        <f>+Precios!AG77*Precios!AG$3</f>
        <v>0</v>
      </c>
      <c r="AL79" s="12">
        <f>+Precios!AH77*Precios!AH$3</f>
        <v>0</v>
      </c>
      <c r="AM79" s="12">
        <f>+Precios!AI77*Precios!AI$3</f>
        <v>0</v>
      </c>
      <c r="AN79" s="12">
        <f>+Precios!AJ77*Precios!AJ$3</f>
        <v>0</v>
      </c>
      <c r="AO79" s="12">
        <f>+Precios!AK77*Precios!AK$3</f>
        <v>0</v>
      </c>
      <c r="AP79" s="12">
        <f>+Precios!AL77*Precios!AL$3</f>
        <v>0</v>
      </c>
      <c r="AQ79" s="12">
        <f>+Precios!AM77*Precios!AM$3</f>
        <v>0</v>
      </c>
      <c r="AR79" s="12">
        <f>+Precios!AN77*Precios!AN$3</f>
        <v>0</v>
      </c>
      <c r="AS79" s="12">
        <f>+Precios!AO77*Precios!AO$3</f>
        <v>0</v>
      </c>
      <c r="AT79" s="12">
        <f>+Precios!AP77*Precios!AP$3</f>
        <v>0</v>
      </c>
      <c r="AU79" s="12">
        <f>+Precios!AQ77*Precios!AQ$3</f>
        <v>0</v>
      </c>
      <c r="AV79" s="12">
        <f>+Precios!AR77*Precios!AR$3</f>
        <v>0</v>
      </c>
      <c r="AW79" s="12">
        <f>+Precios!AS77*Precios!AS$3</f>
        <v>0</v>
      </c>
      <c r="AX79" s="12">
        <f>+Precios!AT77*Precios!AT$3</f>
        <v>0</v>
      </c>
      <c r="AY79" s="12">
        <f>+Precios!AU77*$AY$3</f>
        <v>61433.19</v>
      </c>
      <c r="AZ79" s="12">
        <f>+Precios!AV77*Precios!AV$3</f>
        <v>0</v>
      </c>
      <c r="BA79" s="12">
        <f>+Precios!AW77*Precios!AW$3</f>
        <v>0</v>
      </c>
      <c r="BB79" s="12">
        <f>+Precios!AX77*Precios!AX$3</f>
        <v>0</v>
      </c>
      <c r="BC79" s="12">
        <f>+Precios!AY77*Precios!AY$3</f>
        <v>0</v>
      </c>
      <c r="BD79" s="12">
        <f>+Precios!AZ77*Precios!AZ$3</f>
        <v>0</v>
      </c>
      <c r="BE79" s="12">
        <f>+Precios!BA77*Precios!BA$3</f>
        <v>0</v>
      </c>
      <c r="BF79" s="12">
        <f>+Precios!BB77*Precios!BB$3</f>
        <v>0</v>
      </c>
      <c r="BG79" s="12">
        <f>+Precios!BC77*Precios!BC$3</f>
        <v>0</v>
      </c>
      <c r="BH79" s="12">
        <f>+Precios!BD77*$BH$3</f>
        <v>0</v>
      </c>
      <c r="BI79" s="12">
        <f>+Precios!BE77*Precios!BE$3</f>
        <v>0</v>
      </c>
      <c r="BJ79" s="12">
        <f>+Precios!BF77*Precios!BF$3</f>
        <v>0</v>
      </c>
      <c r="BK79" s="12">
        <f>+Precios!BG77*Precios!BG$3</f>
        <v>0</v>
      </c>
      <c r="BL79" s="12">
        <f>+Precios!BH77*Precios!BH$3</f>
        <v>0</v>
      </c>
      <c r="BM79" s="12">
        <f>+Precios!BI77*Precios!BI$3</f>
        <v>0</v>
      </c>
      <c r="BN79" s="12">
        <f>+Precios!BJ77*$BN$3</f>
        <v>0</v>
      </c>
      <c r="BO79" s="12">
        <f>+Precios!BK77*$BO$3</f>
        <v>0</v>
      </c>
      <c r="BP79" s="12">
        <f>+Precios!BL77*Precios!BL$3</f>
        <v>0</v>
      </c>
    </row>
    <row r="80" spans="1:68" ht="15" thickBot="1">
      <c r="A80" s="5">
        <f>+SUM(F80:XFD80)</f>
        <v>62604.5</v>
      </c>
      <c r="B80" s="26">
        <f>+TRACK!M47</f>
        <v>-449.64999999999839</v>
      </c>
      <c r="C80" s="5">
        <f t="shared" si="1"/>
        <v>49558.750000000007</v>
      </c>
      <c r="D80" s="5">
        <f>1000000+C80-Cost!A80</f>
        <v>999558.75</v>
      </c>
      <c r="E80" s="15">
        <f>+Precios!A78</f>
        <v>46080</v>
      </c>
      <c r="F80" s="12">
        <f>+Precios!B78*Precios!B$3</f>
        <v>0</v>
      </c>
      <c r="G80" s="12">
        <f>+Precios!C78*Precios!C$3</f>
        <v>0</v>
      </c>
      <c r="H80" s="12">
        <f>+Precios!D78*Precios!D$3</f>
        <v>0</v>
      </c>
      <c r="I80" s="12">
        <f>+Precios!E78*Precios!E$3</f>
        <v>0</v>
      </c>
      <c r="J80" s="12">
        <f>+Precios!F78*Precios!F$3</f>
        <v>0</v>
      </c>
      <c r="K80" s="12">
        <f>+Precios!G78*Precios!G$3</f>
        <v>0</v>
      </c>
      <c r="L80" s="12">
        <f>+Precios!H78*Precios!H$3</f>
        <v>0</v>
      </c>
      <c r="M80" s="12">
        <f>+Precios!I78*Precios!I$3</f>
        <v>0</v>
      </c>
      <c r="N80" s="12">
        <f>+Precios!J78*Precios!J$3</f>
        <v>0</v>
      </c>
      <c r="O80" s="12">
        <f>+Precios!K78*Precios!K$3</f>
        <v>0</v>
      </c>
      <c r="P80" s="12">
        <f>+Precios!L78*Precios!L$3</f>
        <v>0</v>
      </c>
      <c r="Q80" s="12">
        <f>+Precios!M78*Precios!M$3</f>
        <v>0</v>
      </c>
      <c r="R80" s="12">
        <f>+Precios!N78*Precios!N$3</f>
        <v>0</v>
      </c>
      <c r="S80" s="12">
        <f>+Precios!O78*Precios!O$3</f>
        <v>0</v>
      </c>
      <c r="T80" s="12">
        <f>+Precios!P78*Precios!P$3</f>
        <v>0</v>
      </c>
      <c r="U80" s="12">
        <f>+Precios!Q78*Precios!Q$3</f>
        <v>0</v>
      </c>
      <c r="V80" s="12">
        <f>+Precios!R78*Precios!R$3</f>
        <v>0</v>
      </c>
      <c r="W80" s="12">
        <f>+Precios!S78*Precios!S$3</f>
        <v>0</v>
      </c>
      <c r="X80" s="12">
        <f>+Precios!T78*Precios!T$3</f>
        <v>0</v>
      </c>
      <c r="Y80" s="12">
        <f>+Precios!U78*Precios!U$3</f>
        <v>0</v>
      </c>
      <c r="Z80" s="12">
        <f>+Precios!V78*Precios!V$3</f>
        <v>0</v>
      </c>
      <c r="AA80" s="12">
        <f>+Precios!W78*Precios!W$3</f>
        <v>0</v>
      </c>
      <c r="AB80" s="12">
        <f>+Precios!X78*Precios!X$3</f>
        <v>0</v>
      </c>
      <c r="AC80" s="12">
        <f>+Precios!Y78*Precios!Y$3</f>
        <v>0</v>
      </c>
      <c r="AD80" s="12">
        <f>+Precios!Z78*Precios!Z$3</f>
        <v>0</v>
      </c>
      <c r="AE80" s="12">
        <f>+Precios!AA78*Precios!AA$3</f>
        <v>0</v>
      </c>
      <c r="AF80" s="12">
        <f>+Precios!AB78*Precios!AB$3</f>
        <v>0</v>
      </c>
      <c r="AG80" s="12">
        <f>+Precios!AC78*Precios!AC$3</f>
        <v>0</v>
      </c>
      <c r="AH80" s="12">
        <f>+Precios!AD78*Precios!AD$3</f>
        <v>0</v>
      </c>
      <c r="AI80" s="12">
        <f>+Precios!AE78*Precios!AE$3</f>
        <v>0</v>
      </c>
      <c r="AJ80" s="12">
        <f>+Precios!AF78*Precios!AF$3</f>
        <v>0</v>
      </c>
      <c r="AK80" s="12">
        <f>+Precios!AG78*Precios!AG$3</f>
        <v>0</v>
      </c>
      <c r="AL80" s="12">
        <f>+Precios!AH78*Precios!AH$3</f>
        <v>0</v>
      </c>
      <c r="AM80" s="12">
        <f>+Precios!AI78*Precios!AI$3</f>
        <v>0</v>
      </c>
      <c r="AN80" s="12">
        <f>+Precios!AJ78*Precios!AJ$3</f>
        <v>0</v>
      </c>
      <c r="AO80" s="12">
        <f>+Precios!AK78*Precios!AK$3</f>
        <v>0</v>
      </c>
      <c r="AP80" s="12">
        <f>+Precios!AL78*Precios!AL$3</f>
        <v>0</v>
      </c>
      <c r="AQ80" s="12">
        <f>+Precios!AM78*Precios!AM$3</f>
        <v>0</v>
      </c>
      <c r="AR80" s="12">
        <f>+Precios!AN78*Precios!AN$3</f>
        <v>0</v>
      </c>
      <c r="AS80" s="12">
        <f>+Precios!AO78*Precios!AO$3</f>
        <v>0</v>
      </c>
      <c r="AT80" s="12">
        <f>+Precios!AP78*Precios!AP$3</f>
        <v>0</v>
      </c>
      <c r="AU80" s="12">
        <f>+Precios!AQ78*Precios!AQ$3</f>
        <v>0</v>
      </c>
      <c r="AV80" s="12">
        <f>+Precios!AR78*Precios!AR$3</f>
        <v>0</v>
      </c>
      <c r="AW80" s="12">
        <f>+Precios!AS78*Precios!AS$3</f>
        <v>0</v>
      </c>
      <c r="AX80" s="12">
        <f>+Precios!AT78*Precios!AT$3</f>
        <v>0</v>
      </c>
      <c r="AY80" s="12">
        <f>+Precios!AU78*$AY$3</f>
        <v>62604.5</v>
      </c>
      <c r="AZ80" s="12">
        <f>+Precios!AV78*Precios!AV$3</f>
        <v>0</v>
      </c>
      <c r="BA80" s="12">
        <f>+Precios!AW78*Precios!AW$3</f>
        <v>0</v>
      </c>
      <c r="BB80" s="12">
        <f>+Precios!AX78*Precios!AX$3</f>
        <v>0</v>
      </c>
      <c r="BC80" s="12">
        <f>+Precios!AY78*Precios!AY$3</f>
        <v>0</v>
      </c>
      <c r="BD80" s="12">
        <f>+Precios!AZ78*Precios!AZ$3</f>
        <v>0</v>
      </c>
      <c r="BE80" s="12">
        <f>+Precios!BA78*Precios!BA$3</f>
        <v>0</v>
      </c>
      <c r="BF80" s="12">
        <f>+Precios!BB78*Precios!BB$3</f>
        <v>0</v>
      </c>
      <c r="BG80" s="12">
        <f>+Precios!BC78*Precios!BC$3</f>
        <v>0</v>
      </c>
      <c r="BH80" s="12">
        <f>+Precios!BD78*$BH$3</f>
        <v>0</v>
      </c>
      <c r="BI80" s="12">
        <f>+Precios!BE78*Precios!BE$3</f>
        <v>0</v>
      </c>
      <c r="BJ80" s="12">
        <f>+Precios!BF78*Precios!BF$3</f>
        <v>0</v>
      </c>
      <c r="BK80" s="12">
        <f>+Precios!BG78*Precios!BG$3</f>
        <v>0</v>
      </c>
      <c r="BL80" s="12">
        <f>+Precios!BH78*Precios!BH$3</f>
        <v>0</v>
      </c>
      <c r="BM80" s="12">
        <f>+Precios!BI78*Precios!BI$3</f>
        <v>0</v>
      </c>
      <c r="BN80" s="12">
        <f>+Precios!BJ78*$BN$3</f>
        <v>0</v>
      </c>
      <c r="BO80" s="12">
        <f>+Precios!BK78*$BO$3</f>
        <v>0</v>
      </c>
      <c r="BP80" s="12">
        <f>+Precios!BL78*Precios!BL$3</f>
        <v>0</v>
      </c>
    </row>
    <row r="81" spans="1:68" ht="15" thickBot="1">
      <c r="A81" s="5">
        <f>+SUM(F81:XFD81)</f>
        <v>64583.61</v>
      </c>
      <c r="B81" s="26"/>
      <c r="C81" s="5">
        <f t="shared" si="1"/>
        <v>49558.750000000007</v>
      </c>
      <c r="D81" s="5">
        <f>1000000+C81-Cost!A81</f>
        <v>999558.75</v>
      </c>
      <c r="E81" s="15">
        <f>+Precios!A79</f>
        <v>46083</v>
      </c>
      <c r="F81" s="12">
        <f>+Precios!B79*Precios!B$3</f>
        <v>0</v>
      </c>
      <c r="G81" s="12">
        <f>+Precios!C79*Precios!C$3</f>
        <v>0</v>
      </c>
      <c r="H81" s="12">
        <f>+Precios!D79*Precios!D$3</f>
        <v>0</v>
      </c>
      <c r="I81" s="12">
        <f>+Precios!E79*Precios!E$3</f>
        <v>0</v>
      </c>
      <c r="J81" s="12">
        <f>+Precios!F79*Precios!F$3</f>
        <v>0</v>
      </c>
      <c r="K81" s="12">
        <f>+Precios!G79*Precios!G$3</f>
        <v>0</v>
      </c>
      <c r="L81" s="12">
        <f>+Precios!H79*Precios!H$3</f>
        <v>0</v>
      </c>
      <c r="M81" s="12">
        <f>+Precios!I79*Precios!I$3</f>
        <v>0</v>
      </c>
      <c r="N81" s="12">
        <f>+Precios!J79*Precios!J$3</f>
        <v>0</v>
      </c>
      <c r="O81" s="12">
        <f>+Precios!K79*Precios!K$3</f>
        <v>0</v>
      </c>
      <c r="P81" s="12">
        <f>+Precios!L79*Precios!L$3</f>
        <v>0</v>
      </c>
      <c r="Q81" s="12">
        <f>+Precios!M79*Precios!M$3</f>
        <v>0</v>
      </c>
      <c r="R81" s="12">
        <f>+Precios!N79*Precios!N$3</f>
        <v>0</v>
      </c>
      <c r="S81" s="12">
        <f>+Precios!O79*Precios!O$3</f>
        <v>0</v>
      </c>
      <c r="T81" s="12">
        <f>+Precios!P79*Precios!P$3</f>
        <v>0</v>
      </c>
      <c r="U81" s="12">
        <f>+Precios!Q79*Precios!Q$3</f>
        <v>0</v>
      </c>
      <c r="V81" s="12">
        <f>+Precios!R79*Precios!R$3</f>
        <v>0</v>
      </c>
      <c r="W81" s="12">
        <f>+Precios!S79*Precios!S$3</f>
        <v>0</v>
      </c>
      <c r="X81" s="12">
        <f>+Precios!T79*Precios!T$3</f>
        <v>0</v>
      </c>
      <c r="Y81" s="12">
        <f>+Precios!U79*Precios!U$3</f>
        <v>0</v>
      </c>
      <c r="Z81" s="12">
        <f>+Precios!V79*Precios!V$3</f>
        <v>0</v>
      </c>
      <c r="AA81" s="12">
        <f>+Precios!W79*Precios!W$3</f>
        <v>0</v>
      </c>
      <c r="AB81" s="12">
        <f>+Precios!X79*Precios!X$3</f>
        <v>0</v>
      </c>
      <c r="AC81" s="12">
        <f>+Precios!Y79*Precios!Y$3</f>
        <v>0</v>
      </c>
      <c r="AD81" s="12">
        <f>+Precios!Z79*Precios!Z$3</f>
        <v>0</v>
      </c>
      <c r="AE81" s="12">
        <f>+Precios!AA79*Precios!AA$3</f>
        <v>0</v>
      </c>
      <c r="AF81" s="12">
        <f>+Precios!AB79*Precios!AB$3</f>
        <v>0</v>
      </c>
      <c r="AG81" s="12">
        <f>+Precios!AC79*Precios!AC$3</f>
        <v>0</v>
      </c>
      <c r="AH81" s="12">
        <f>+Precios!AD79*Precios!AD$3</f>
        <v>0</v>
      </c>
      <c r="AI81" s="12">
        <f>+Precios!AE79*Precios!AE$3</f>
        <v>0</v>
      </c>
      <c r="AJ81" s="12">
        <f>+Precios!AF79*Precios!AF$3</f>
        <v>0</v>
      </c>
      <c r="AK81" s="12">
        <f>+Precios!AG79*Precios!AG$3</f>
        <v>0</v>
      </c>
      <c r="AL81" s="12">
        <f>+Precios!AH79*Precios!AH$3</f>
        <v>0</v>
      </c>
      <c r="AM81" s="12">
        <f>+Precios!AI79*Precios!AI$3</f>
        <v>0</v>
      </c>
      <c r="AN81" s="12">
        <f>+Precios!AJ79*Precios!AJ$3</f>
        <v>0</v>
      </c>
      <c r="AO81" s="12">
        <f>+Precios!AK79*Precios!AK$3</f>
        <v>0</v>
      </c>
      <c r="AP81" s="12">
        <f>+Precios!AL79*Precios!AL$3</f>
        <v>0</v>
      </c>
      <c r="AQ81" s="12">
        <f>+Precios!AM79*Precios!AM$3</f>
        <v>0</v>
      </c>
      <c r="AR81" s="12">
        <f>+Precios!AN79*Precios!AN$3</f>
        <v>0</v>
      </c>
      <c r="AS81" s="12">
        <f>+Precios!AO79*Precios!AO$3</f>
        <v>0</v>
      </c>
      <c r="AT81" s="12">
        <f>+Precios!AP79*Precios!AP$3</f>
        <v>0</v>
      </c>
      <c r="AU81" s="12">
        <f>+Precios!AQ79*Precios!AQ$3</f>
        <v>0</v>
      </c>
      <c r="AV81" s="12">
        <f>+Precios!AR79*Precios!AR$3</f>
        <v>0</v>
      </c>
      <c r="AW81" s="12">
        <f>+Precios!AS79*Precios!AS$3</f>
        <v>0</v>
      </c>
      <c r="AX81" s="12">
        <f>+Precios!AT79*Precios!AT$3</f>
        <v>0</v>
      </c>
      <c r="AY81" s="12">
        <f>+Precios!AU79*$AY$3</f>
        <v>64583.61</v>
      </c>
      <c r="AZ81" s="12">
        <f>+Precios!AV79*Precios!AV$3</f>
        <v>0</v>
      </c>
      <c r="BA81" s="12">
        <f>+Precios!AW79*Precios!AW$3</f>
        <v>0</v>
      </c>
      <c r="BB81" s="12">
        <f>+Precios!AX79*Precios!AX$3</f>
        <v>0</v>
      </c>
      <c r="BC81" s="12">
        <f>+Precios!AY79*Precios!AY$3</f>
        <v>0</v>
      </c>
      <c r="BD81" s="12">
        <f>+Precios!AZ79*Precios!AZ$3</f>
        <v>0</v>
      </c>
      <c r="BE81" s="12">
        <f>+Precios!BA79*Precios!BA$3</f>
        <v>0</v>
      </c>
      <c r="BF81" s="12">
        <f>+Precios!BB79*Precios!BB$3</f>
        <v>0</v>
      </c>
      <c r="BG81" s="12">
        <f>+Precios!BC79*Precios!BC$3</f>
        <v>0</v>
      </c>
      <c r="BH81" s="12">
        <f>+Precios!BD79*$BH$3</f>
        <v>0</v>
      </c>
      <c r="BI81" s="12">
        <f>+Precios!BE79*Precios!BE$3</f>
        <v>0</v>
      </c>
      <c r="BJ81" s="12">
        <f>+Precios!BF79*Precios!BF$3</f>
        <v>0</v>
      </c>
      <c r="BK81" s="12">
        <f>+Precios!BG79*Precios!BG$3</f>
        <v>0</v>
      </c>
      <c r="BL81" s="12">
        <f>+Precios!BH79*Precios!BH$3</f>
        <v>0</v>
      </c>
      <c r="BM81" s="12">
        <f>+Precios!BI79*Precios!BI$3</f>
        <v>0</v>
      </c>
      <c r="BN81" s="12">
        <f>+Precios!BJ79*$BN$3</f>
        <v>0</v>
      </c>
      <c r="BO81" s="12">
        <f>+Precios!BK79*$BO$3</f>
        <v>0</v>
      </c>
      <c r="BP81" s="12">
        <f>+Precios!BL79*Precios!BL$3</f>
        <v>0</v>
      </c>
    </row>
    <row r="82" spans="1:68" ht="15" thickBot="1">
      <c r="A82" s="5">
        <f>+SUM(F82:XFD82)</f>
        <v>63533.47</v>
      </c>
      <c r="B82" s="26">
        <f>+TRACK!M48+TRACK!M49+TRACK!M50+TRACK!M51+TRACK!M52+TRACK!M53</f>
        <v>3727.0599999999827</v>
      </c>
      <c r="C82" s="5">
        <f t="shared" si="1"/>
        <v>53285.80999999999</v>
      </c>
      <c r="D82" s="5">
        <f>1000000+C82-Cost!A82</f>
        <v>1003285.81</v>
      </c>
      <c r="E82" s="15">
        <f>+Precios!A80</f>
        <v>46084</v>
      </c>
      <c r="F82" s="12">
        <f>+Precios!B80*Precios!B$3</f>
        <v>0</v>
      </c>
      <c r="G82" s="12">
        <f>+Precios!C80*Precios!C$3</f>
        <v>0</v>
      </c>
      <c r="H82" s="12">
        <f>+Precios!D80*Precios!D$3</f>
        <v>0</v>
      </c>
      <c r="I82" s="12">
        <f>+Precios!E80*Precios!E$3</f>
        <v>0</v>
      </c>
      <c r="J82" s="12">
        <f>+Precios!F80*Precios!F$3</f>
        <v>0</v>
      </c>
      <c r="K82" s="12">
        <f>+Precios!G80*Precios!G$3</f>
        <v>0</v>
      </c>
      <c r="L82" s="12">
        <f>+Precios!H80*Precios!H$3</f>
        <v>0</v>
      </c>
      <c r="M82" s="12">
        <f>+Precios!I80*Precios!I$3</f>
        <v>0</v>
      </c>
      <c r="N82" s="12">
        <f>+Precios!J80*Precios!J$3</f>
        <v>0</v>
      </c>
      <c r="O82" s="12">
        <f>+Precios!K80*Precios!K$3</f>
        <v>0</v>
      </c>
      <c r="P82" s="12">
        <f>+Precios!L80*Precios!L$3</f>
        <v>0</v>
      </c>
      <c r="Q82" s="12">
        <f>+Precios!M80*Precios!M$3</f>
        <v>0</v>
      </c>
      <c r="R82" s="12">
        <f>+Precios!N80*Precios!N$3</f>
        <v>0</v>
      </c>
      <c r="S82" s="12">
        <f>+Precios!O80*Precios!O$3</f>
        <v>0</v>
      </c>
      <c r="T82" s="12">
        <f>+Precios!P80*Precios!P$3</f>
        <v>0</v>
      </c>
      <c r="U82" s="12">
        <f>+Precios!Q80*Precios!Q$3</f>
        <v>0</v>
      </c>
      <c r="V82" s="12">
        <f>+Precios!R80*Precios!R$3</f>
        <v>0</v>
      </c>
      <c r="W82" s="12">
        <f>+Precios!S80*Precios!S$3</f>
        <v>0</v>
      </c>
      <c r="X82" s="12">
        <f>+Precios!T80*Precios!T$3</f>
        <v>0</v>
      </c>
      <c r="Y82" s="12">
        <f>+Precios!U80*Precios!U$3</f>
        <v>0</v>
      </c>
      <c r="Z82" s="12">
        <f>+Precios!V80*Precios!V$3</f>
        <v>0</v>
      </c>
      <c r="AA82" s="12">
        <f>+Precios!W80*Precios!W$3</f>
        <v>0</v>
      </c>
      <c r="AB82" s="12">
        <f>+Precios!X80*Precios!X$3</f>
        <v>0</v>
      </c>
      <c r="AC82" s="12">
        <f>+Precios!Y80*Precios!Y$3</f>
        <v>0</v>
      </c>
      <c r="AD82" s="12">
        <f>+Precios!Z80*Precios!Z$3</f>
        <v>0</v>
      </c>
      <c r="AE82" s="12">
        <f>+Precios!AA80*Precios!AA$3</f>
        <v>0</v>
      </c>
      <c r="AF82" s="12">
        <f>+Precios!AB80*Precios!AB$3</f>
        <v>0</v>
      </c>
      <c r="AG82" s="12">
        <f>+Precios!AC80*Precios!AC$3</f>
        <v>0</v>
      </c>
      <c r="AH82" s="12">
        <f>+Precios!AD80*Precios!AD$3</f>
        <v>0</v>
      </c>
      <c r="AI82" s="12">
        <f>+Precios!AE80*Precios!AE$3</f>
        <v>0</v>
      </c>
      <c r="AJ82" s="12">
        <f>+Precios!AF80*Precios!AF$3</f>
        <v>0</v>
      </c>
      <c r="AK82" s="12">
        <f>+Precios!AG80*Precios!AG$3</f>
        <v>0</v>
      </c>
      <c r="AL82" s="12">
        <f>+Precios!AH80*Precios!AH$3</f>
        <v>0</v>
      </c>
      <c r="AM82" s="12">
        <f>+Precios!AI80*Precios!AI$3</f>
        <v>0</v>
      </c>
      <c r="AN82" s="12">
        <f>+Precios!AJ80*Precios!AJ$3</f>
        <v>0</v>
      </c>
      <c r="AO82" s="12">
        <f>+Precios!AK80*Precios!AK$3</f>
        <v>0</v>
      </c>
      <c r="AP82" s="12">
        <f>+Precios!AL80*Precios!AL$3</f>
        <v>0</v>
      </c>
      <c r="AQ82" s="12">
        <f>+Precios!AM80*Precios!AM$3</f>
        <v>0</v>
      </c>
      <c r="AR82" s="12">
        <f>+Precios!AN80*Precios!AN$3</f>
        <v>0</v>
      </c>
      <c r="AS82" s="12">
        <f>+Precios!AO80*Precios!AO$3</f>
        <v>0</v>
      </c>
      <c r="AT82" s="12">
        <f>+Precios!AP80*Precios!AP$3</f>
        <v>0</v>
      </c>
      <c r="AU82" s="12">
        <f>+Precios!AQ80*Precios!AQ$3</f>
        <v>0</v>
      </c>
      <c r="AV82" s="12">
        <f>+Precios!AR80*Precios!AR$3</f>
        <v>0</v>
      </c>
      <c r="AW82" s="12">
        <f>+Precios!AS80*Precios!AS$3</f>
        <v>0</v>
      </c>
      <c r="AX82" s="12">
        <f>+Precios!AT80*Precios!AT$3</f>
        <v>0</v>
      </c>
      <c r="AY82" s="12">
        <f>+Precios!AU80*$AY$3</f>
        <v>63533.47</v>
      </c>
      <c r="AZ82" s="12">
        <f>+Precios!AV80*Precios!AV$3</f>
        <v>0</v>
      </c>
      <c r="BA82" s="12">
        <f>+Precios!AW80*Precios!AW$3</f>
        <v>0</v>
      </c>
      <c r="BB82" s="12">
        <f>+Precios!AX80*Precios!AX$3</f>
        <v>0</v>
      </c>
      <c r="BC82" s="12">
        <f>+Precios!AY80*Precios!AY$3</f>
        <v>0</v>
      </c>
      <c r="BD82" s="12">
        <f>+Precios!AZ80*Precios!AZ$3</f>
        <v>0</v>
      </c>
      <c r="BE82" s="12">
        <f>+Precios!BA80*Precios!BA$3</f>
        <v>0</v>
      </c>
      <c r="BF82" s="12">
        <f>+Precios!BB80*Precios!BB$3</f>
        <v>0</v>
      </c>
      <c r="BG82" s="12">
        <f>+Precios!BC80*Precios!BC$3</f>
        <v>0</v>
      </c>
      <c r="BH82" s="12">
        <f>+Precios!BD80*$BH$3</f>
        <v>0</v>
      </c>
      <c r="BI82" s="12">
        <f>+Precios!BE80*Precios!BE$3</f>
        <v>0</v>
      </c>
      <c r="BJ82" s="12">
        <f>+Precios!BF80*Precios!BF$3</f>
        <v>0</v>
      </c>
      <c r="BK82" s="12">
        <f>+Precios!BG80*Precios!BG$3</f>
        <v>0</v>
      </c>
      <c r="BL82" s="12">
        <f>+Precios!BH80*Precios!BH$3</f>
        <v>0</v>
      </c>
      <c r="BM82" s="12">
        <f>+Precios!BI80*Precios!BI$3</f>
        <v>0</v>
      </c>
      <c r="BN82" s="12">
        <f>+Precios!BJ80*$BN$3</f>
        <v>0</v>
      </c>
      <c r="BO82" s="12">
        <f>+Precios!BK80*$BO$3</f>
        <v>0</v>
      </c>
      <c r="BP82" s="12">
        <f>+Precios!BL80*Precios!BL$3</f>
        <v>0</v>
      </c>
    </row>
    <row r="83" spans="1:68" ht="15" thickBot="1">
      <c r="A83" s="5">
        <f>+SUM(F83:XFD83)</f>
        <v>65835.7</v>
      </c>
      <c r="B83" s="26"/>
      <c r="C83" s="5">
        <f t="shared" si="1"/>
        <v>53285.80999999999</v>
      </c>
      <c r="D83" s="5">
        <f>1000000+C83-Cost!A83</f>
        <v>1003285.81</v>
      </c>
      <c r="E83" s="15">
        <f>+Precios!A81</f>
        <v>46085</v>
      </c>
      <c r="F83" s="12">
        <f>+Precios!B81*Precios!B$3</f>
        <v>0</v>
      </c>
      <c r="G83" s="12">
        <f>+Precios!C81*Precios!C$3</f>
        <v>0</v>
      </c>
      <c r="H83" s="12">
        <f>+Precios!D81*Precios!D$3</f>
        <v>0</v>
      </c>
      <c r="I83" s="12">
        <f>+Precios!E81*Precios!E$3</f>
        <v>0</v>
      </c>
      <c r="J83" s="12">
        <f>+Precios!F81*Precios!F$3</f>
        <v>0</v>
      </c>
      <c r="K83" s="12">
        <f>+Precios!G81*Precios!G$3</f>
        <v>0</v>
      </c>
      <c r="L83" s="12">
        <f>+Precios!H81*Precios!H$3</f>
        <v>0</v>
      </c>
      <c r="M83" s="12">
        <f>+Precios!I81*Precios!I$3</f>
        <v>0</v>
      </c>
      <c r="N83" s="12">
        <f>+Precios!J81*Precios!J$3</f>
        <v>0</v>
      </c>
      <c r="O83" s="12">
        <f>+Precios!K81*Precios!K$3</f>
        <v>0</v>
      </c>
      <c r="P83" s="12">
        <f>+Precios!L81*Precios!L$3</f>
        <v>0</v>
      </c>
      <c r="Q83" s="12">
        <f>+Precios!M81*Precios!M$3</f>
        <v>0</v>
      </c>
      <c r="R83" s="12">
        <f>+Precios!N81*Precios!N$3</f>
        <v>0</v>
      </c>
      <c r="S83" s="12">
        <f>+Precios!O81*Precios!O$3</f>
        <v>0</v>
      </c>
      <c r="T83" s="12">
        <f>+Precios!P81*Precios!P$3</f>
        <v>0</v>
      </c>
      <c r="U83" s="12">
        <f>+Precios!Q81*Precios!Q$3</f>
        <v>0</v>
      </c>
      <c r="V83" s="12">
        <f>+Precios!R81*Precios!R$3</f>
        <v>0</v>
      </c>
      <c r="W83" s="12">
        <f>+Precios!S81*Precios!S$3</f>
        <v>0</v>
      </c>
      <c r="X83" s="12">
        <f>+Precios!T81*Precios!T$3</f>
        <v>0</v>
      </c>
      <c r="Y83" s="12">
        <f>+Precios!U81*Precios!U$3</f>
        <v>0</v>
      </c>
      <c r="Z83" s="12">
        <f>+Precios!V81*Precios!V$3</f>
        <v>0</v>
      </c>
      <c r="AA83" s="12">
        <f>+Precios!W81*Precios!W$3</f>
        <v>0</v>
      </c>
      <c r="AB83" s="12">
        <f>+Precios!X81*Precios!X$3</f>
        <v>0</v>
      </c>
      <c r="AC83" s="12">
        <f>+Precios!Y81*Precios!Y$3</f>
        <v>0</v>
      </c>
      <c r="AD83" s="12">
        <f>+Precios!Z81*Precios!Z$3</f>
        <v>0</v>
      </c>
      <c r="AE83" s="12">
        <f>+Precios!AA81*Precios!AA$3</f>
        <v>0</v>
      </c>
      <c r="AF83" s="12">
        <f>+Precios!AB81*Precios!AB$3</f>
        <v>0</v>
      </c>
      <c r="AG83" s="12">
        <f>+Precios!AC81*Precios!AC$3</f>
        <v>0</v>
      </c>
      <c r="AH83" s="12">
        <f>+Precios!AD81*Precios!AD$3</f>
        <v>0</v>
      </c>
      <c r="AI83" s="12">
        <f>+Precios!AE81*Precios!AE$3</f>
        <v>0</v>
      </c>
      <c r="AJ83" s="12">
        <f>+Precios!AF81*Precios!AF$3</f>
        <v>0</v>
      </c>
      <c r="AK83" s="12">
        <f>+Precios!AG81*Precios!AG$3</f>
        <v>0</v>
      </c>
      <c r="AL83" s="12">
        <f>+Precios!AH81*Precios!AH$3</f>
        <v>0</v>
      </c>
      <c r="AM83" s="12">
        <f>+Precios!AI81*Precios!AI$3</f>
        <v>0</v>
      </c>
      <c r="AN83" s="12">
        <f>+Precios!AJ81*Precios!AJ$3</f>
        <v>0</v>
      </c>
      <c r="AO83" s="12">
        <f>+Precios!AK81*Precios!AK$3</f>
        <v>0</v>
      </c>
      <c r="AP83" s="12">
        <f>+Precios!AL81*Precios!AL$3</f>
        <v>0</v>
      </c>
      <c r="AQ83" s="12">
        <f>+Precios!AM81*Precios!AM$3</f>
        <v>0</v>
      </c>
      <c r="AR83" s="12">
        <f>+Precios!AN81*Precios!AN$3</f>
        <v>0</v>
      </c>
      <c r="AS83" s="12">
        <f>+Precios!AO81*Precios!AO$3</f>
        <v>0</v>
      </c>
      <c r="AT83" s="12">
        <f>+Precios!AP81*Precios!AP$3</f>
        <v>0</v>
      </c>
      <c r="AU83" s="12">
        <f>+Precios!AQ81*Precios!AQ$3</f>
        <v>0</v>
      </c>
      <c r="AV83" s="12">
        <f>+Precios!AR81*Precios!AR$3</f>
        <v>0</v>
      </c>
      <c r="AW83" s="12">
        <f>+Precios!AS81*Precios!AS$3</f>
        <v>0</v>
      </c>
      <c r="AX83" s="12">
        <f>+Precios!AT81*Precios!AT$3</f>
        <v>0</v>
      </c>
      <c r="AY83" s="12">
        <f>+Precios!AU81*$AY$3</f>
        <v>65835.7</v>
      </c>
      <c r="AZ83" s="12">
        <f>+Precios!AV81*Precios!AV$3</f>
        <v>0</v>
      </c>
      <c r="BA83" s="12">
        <f>+Precios!AW81*Precios!AW$3</f>
        <v>0</v>
      </c>
      <c r="BB83" s="12">
        <f>+Precios!AX81*Precios!AX$3</f>
        <v>0</v>
      </c>
      <c r="BC83" s="12">
        <f>+Precios!AY81*Precios!AY$3</f>
        <v>0</v>
      </c>
      <c r="BD83" s="12">
        <f>+Precios!AZ81*Precios!AZ$3</f>
        <v>0</v>
      </c>
      <c r="BE83" s="12">
        <f>+Precios!BA81*Precios!BA$3</f>
        <v>0</v>
      </c>
      <c r="BF83" s="12">
        <f>+Precios!BB81*Precios!BB$3</f>
        <v>0</v>
      </c>
      <c r="BG83" s="12">
        <f>+Precios!BC81*Precios!BC$3</f>
        <v>0</v>
      </c>
      <c r="BH83" s="12">
        <f>+Precios!BD81*$BH$3</f>
        <v>0</v>
      </c>
      <c r="BI83" s="12">
        <f>+Precios!BE81*Precios!BE$3</f>
        <v>0</v>
      </c>
      <c r="BJ83" s="12">
        <f>+Precios!BF81*Precios!BF$3</f>
        <v>0</v>
      </c>
      <c r="BK83" s="12">
        <f>+Precios!BG81*Precios!BG$3</f>
        <v>0</v>
      </c>
      <c r="BL83" s="12">
        <f>+Precios!BH81*Precios!BH$3</f>
        <v>0</v>
      </c>
      <c r="BM83" s="12">
        <f>+Precios!BI81*Precios!BI$3</f>
        <v>0</v>
      </c>
      <c r="BN83" s="12">
        <f>+Precios!BJ81*$BN$3</f>
        <v>0</v>
      </c>
      <c r="BO83" s="12">
        <f>+Precios!BK81*$BO$3</f>
        <v>0</v>
      </c>
      <c r="BP83" s="12">
        <f>+Precios!BL81*Precios!BL$3</f>
        <v>0</v>
      </c>
    </row>
    <row r="84" spans="1:68" ht="15" thickBot="1">
      <c r="A84" s="5">
        <f>+SUM(F84:XFD84)</f>
        <v>113009.4</v>
      </c>
      <c r="B84" s="26"/>
      <c r="C84" s="5">
        <f t="shared" si="1"/>
        <v>53285.80999999999</v>
      </c>
      <c r="D84" s="5">
        <f>1000000+C84-Cost!A84</f>
        <v>953284.81</v>
      </c>
      <c r="E84" s="15">
        <f>+Precios!A82</f>
        <v>46086</v>
      </c>
      <c r="F84" s="12">
        <f>+Precios!B82*Precios!B$3</f>
        <v>0</v>
      </c>
      <c r="G84" s="12">
        <f>+Precios!C82*Precios!C$3</f>
        <v>0</v>
      </c>
      <c r="H84" s="12">
        <f>+Precios!D82*Precios!D$3</f>
        <v>0</v>
      </c>
      <c r="I84" s="12">
        <f>+Precios!E82*Precios!E$3</f>
        <v>0</v>
      </c>
      <c r="J84" s="12">
        <f>+Precios!F82*Precios!F$3</f>
        <v>0</v>
      </c>
      <c r="K84" s="12">
        <f>+Precios!G82*Precios!G$3</f>
        <v>0</v>
      </c>
      <c r="L84" s="12">
        <f>+Precios!H82*Precios!H$3</f>
        <v>0</v>
      </c>
      <c r="M84" s="12">
        <f>+Precios!I82*Precios!I$3</f>
        <v>0</v>
      </c>
      <c r="N84" s="12">
        <f>+Precios!J82*Precios!J$3</f>
        <v>0</v>
      </c>
      <c r="O84" s="12">
        <f>+Precios!K82*Precios!K$3</f>
        <v>0</v>
      </c>
      <c r="P84" s="12">
        <f>+Precios!L82*Precios!L$3</f>
        <v>0</v>
      </c>
      <c r="Q84" s="12">
        <f>+Precios!M82*Precios!M$3</f>
        <v>0</v>
      </c>
      <c r="R84" s="12">
        <f>+Precios!N82*Precios!N$3</f>
        <v>0</v>
      </c>
      <c r="S84" s="12">
        <f>+Precios!O82*Precios!O$3</f>
        <v>0</v>
      </c>
      <c r="T84" s="12">
        <f>+Precios!P82*Precios!P$3</f>
        <v>0</v>
      </c>
      <c r="U84" s="12">
        <f>+Precios!Q82*Precios!Q$3</f>
        <v>0</v>
      </c>
      <c r="V84" s="12">
        <f>+Precios!R82*Precios!R$3</f>
        <v>0</v>
      </c>
      <c r="W84" s="12">
        <f>+Precios!S82*Precios!S$3</f>
        <v>0</v>
      </c>
      <c r="X84" s="12">
        <f>+Precios!T82*Precios!T$3</f>
        <v>0</v>
      </c>
      <c r="Y84" s="12">
        <f>+Precios!U82*Precios!U$3</f>
        <v>0</v>
      </c>
      <c r="Z84" s="12">
        <f>+Precios!V82*Precios!V$3</f>
        <v>0</v>
      </c>
      <c r="AA84" s="12">
        <f>+Precios!W82*Precios!W$3</f>
        <v>0</v>
      </c>
      <c r="AB84" s="12">
        <f>+Precios!X82*Precios!X$3</f>
        <v>0</v>
      </c>
      <c r="AC84" s="12">
        <f>+Precios!Y82*Precios!Y$3</f>
        <v>0</v>
      </c>
      <c r="AD84" s="12">
        <f>+Precios!Z82*Precios!Z$3</f>
        <v>0</v>
      </c>
      <c r="AE84" s="12">
        <f>+Precios!AA82*Precios!AA$3</f>
        <v>0</v>
      </c>
      <c r="AF84" s="12">
        <f>+Precios!AB82*Precios!AB$3</f>
        <v>0</v>
      </c>
      <c r="AG84" s="12">
        <f>+Precios!AC82*Precios!AC$3</f>
        <v>0</v>
      </c>
      <c r="AH84" s="12">
        <f>+Precios!AD82*Precios!AD$3</f>
        <v>0</v>
      </c>
      <c r="AI84" s="12">
        <f>+Precios!AE82*Precios!AE$3</f>
        <v>0</v>
      </c>
      <c r="AJ84" s="12">
        <f>+Precios!AF82*Precios!AF$3</f>
        <v>0</v>
      </c>
      <c r="AK84" s="12">
        <f>+Precios!AG82*Precios!AG$3</f>
        <v>0</v>
      </c>
      <c r="AL84" s="12">
        <f>+Precios!AH82*Precios!AH$3</f>
        <v>0</v>
      </c>
      <c r="AM84" s="12">
        <f>+Precios!AI82*Precios!AI$3</f>
        <v>0</v>
      </c>
      <c r="AN84" s="12">
        <f>+Precios!AJ82*Precios!AJ$3</f>
        <v>0</v>
      </c>
      <c r="AO84" s="12">
        <f>+Precios!AK82*Precios!AK$3</f>
        <v>0</v>
      </c>
      <c r="AP84" s="12">
        <f>+Precios!AL82*Precios!AL$3</f>
        <v>0</v>
      </c>
      <c r="AQ84" s="12">
        <f>+Precios!AM82*Precios!AM$3</f>
        <v>0</v>
      </c>
      <c r="AR84" s="12">
        <f>+Precios!AN82*Precios!AN$3</f>
        <v>0</v>
      </c>
      <c r="AS84" s="12">
        <f>+Precios!AO82*Precios!AO$3</f>
        <v>0</v>
      </c>
      <c r="AT84" s="12">
        <f>+Precios!AP82*Precios!AP$3</f>
        <v>0</v>
      </c>
      <c r="AU84" s="12">
        <f>+Precios!AQ82*Precios!AQ$3</f>
        <v>0</v>
      </c>
      <c r="AV84" s="12">
        <f>+Precios!AR82*Precios!AR$3</f>
        <v>0</v>
      </c>
      <c r="AW84" s="12">
        <f>+Precios!AS82*Precios!AS$3</f>
        <v>0</v>
      </c>
      <c r="AX84" s="12">
        <f>+Precios!AT82*Precios!AT$3</f>
        <v>0</v>
      </c>
      <c r="AY84" s="12">
        <f>+Precios!AU82*$AY$3</f>
        <v>63008.4</v>
      </c>
      <c r="AZ84" s="12">
        <f>+Precios!AV82*Precios!AV$3</f>
        <v>0</v>
      </c>
      <c r="BA84" s="12">
        <f>+Precios!AW82*Precios!AW$3</f>
        <v>0</v>
      </c>
      <c r="BB84" s="12">
        <f>+Precios!AX82*Precios!AX$3</f>
        <v>0</v>
      </c>
      <c r="BC84" s="12">
        <f>+Precios!AY82*Precios!AY$3</f>
        <v>0</v>
      </c>
      <c r="BD84" s="12">
        <f>+Precios!AZ82*Precios!AZ$3</f>
        <v>0</v>
      </c>
      <c r="BE84" s="12">
        <f>+Precios!BA82*Precios!BA$3</f>
        <v>0</v>
      </c>
      <c r="BF84" s="12">
        <f>+Precios!BB82*Precios!BB$3</f>
        <v>0</v>
      </c>
      <c r="BG84" s="12">
        <f>+Precios!BC82*Precios!BC$3</f>
        <v>0</v>
      </c>
      <c r="BH84" s="12">
        <f>+Precios!BD82*$BH$3</f>
        <v>50001</v>
      </c>
      <c r="BI84" s="12">
        <f>+Precios!BE82*Precios!BE$3</f>
        <v>0</v>
      </c>
      <c r="BJ84" s="12">
        <f>+Precios!BF82*Precios!BF$3</f>
        <v>0</v>
      </c>
      <c r="BK84" s="12">
        <f>+Precios!BG82*Precios!BG$3</f>
        <v>0</v>
      </c>
      <c r="BL84" s="12">
        <f>+Precios!BH82*Precios!BH$3</f>
        <v>0</v>
      </c>
      <c r="BM84" s="12">
        <f>+Precios!BI82*Precios!BI$3</f>
        <v>0</v>
      </c>
      <c r="BN84" s="12">
        <f>+Precios!BJ82*$BN$3</f>
        <v>0</v>
      </c>
      <c r="BO84" s="12">
        <f>+Precios!BK82*$BO$3</f>
        <v>0</v>
      </c>
      <c r="BP84" s="12">
        <f>+Precios!BL82*Precios!BL$3</f>
        <v>0</v>
      </c>
    </row>
    <row r="85" spans="1:68" ht="15" thickBot="1">
      <c r="A85" s="5">
        <f>+SUM(F85:XFD85)</f>
        <v>126289.4</v>
      </c>
      <c r="B85" s="26"/>
      <c r="C85" s="5">
        <f t="shared" si="1"/>
        <v>53285.80999999999</v>
      </c>
      <c r="D85" s="5">
        <f>1000000+C85-Cost!A85</f>
        <v>953284.81</v>
      </c>
      <c r="E85" s="15">
        <f>+Precios!A83</f>
        <v>46087</v>
      </c>
      <c r="F85" s="12">
        <f>+Precios!B83*Precios!B$3</f>
        <v>0</v>
      </c>
      <c r="G85" s="12">
        <f>+Precios!C83*Precios!C$3</f>
        <v>0</v>
      </c>
      <c r="H85" s="12">
        <f>+Precios!D83*Precios!D$3</f>
        <v>0</v>
      </c>
      <c r="I85" s="12">
        <f>+Precios!E83*Precios!E$3</f>
        <v>0</v>
      </c>
      <c r="J85" s="12">
        <f>+Precios!F83*Precios!F$3</f>
        <v>0</v>
      </c>
      <c r="K85" s="12">
        <f>+Precios!G83*Precios!G$3</f>
        <v>0</v>
      </c>
      <c r="L85" s="12">
        <f>+Precios!H83*Precios!H$3</f>
        <v>0</v>
      </c>
      <c r="M85" s="12">
        <f>+Precios!I83*Precios!I$3</f>
        <v>0</v>
      </c>
      <c r="N85" s="12">
        <f>+Precios!J83*Precios!J$3</f>
        <v>0</v>
      </c>
      <c r="O85" s="12">
        <f>+Precios!K83*Precios!K$3</f>
        <v>0</v>
      </c>
      <c r="P85" s="12">
        <f>+Precios!L83*Precios!L$3</f>
        <v>0</v>
      </c>
      <c r="Q85" s="12">
        <f>+Precios!M83*Precios!M$3</f>
        <v>0</v>
      </c>
      <c r="R85" s="12">
        <f>+Precios!N83*Precios!N$3</f>
        <v>0</v>
      </c>
      <c r="S85" s="12">
        <f>+Precios!O83*Precios!O$3</f>
        <v>0</v>
      </c>
      <c r="T85" s="12">
        <f>+Precios!P83*Precios!P$3</f>
        <v>0</v>
      </c>
      <c r="U85" s="12">
        <f>+Precios!Q83*Precios!Q$3</f>
        <v>0</v>
      </c>
      <c r="V85" s="12">
        <f>+Precios!R83*Precios!R$3</f>
        <v>0</v>
      </c>
      <c r="W85" s="12">
        <f>+Precios!S83*Precios!S$3</f>
        <v>0</v>
      </c>
      <c r="X85" s="12">
        <f>+Precios!T83*Precios!T$3</f>
        <v>0</v>
      </c>
      <c r="Y85" s="12">
        <f>+Precios!U83*Precios!U$3</f>
        <v>0</v>
      </c>
      <c r="Z85" s="12">
        <f>+Precios!V83*Precios!V$3</f>
        <v>0</v>
      </c>
      <c r="AA85" s="12">
        <f>+Precios!W83*Precios!W$3</f>
        <v>0</v>
      </c>
      <c r="AB85" s="12">
        <f>+Precios!X83*Precios!X$3</f>
        <v>0</v>
      </c>
      <c r="AC85" s="12">
        <f>+Precios!Y83*Precios!Y$3</f>
        <v>0</v>
      </c>
      <c r="AD85" s="12">
        <f>+Precios!Z83*Precios!Z$3</f>
        <v>0</v>
      </c>
      <c r="AE85" s="12">
        <f>+Precios!AA83*Precios!AA$3</f>
        <v>0</v>
      </c>
      <c r="AF85" s="12">
        <f>+Precios!AB83*Precios!AB$3</f>
        <v>0</v>
      </c>
      <c r="AG85" s="12">
        <f>+Precios!AC83*Precios!AC$3</f>
        <v>0</v>
      </c>
      <c r="AH85" s="12">
        <f>+Precios!AD83*Precios!AD$3</f>
        <v>0</v>
      </c>
      <c r="AI85" s="12">
        <f>+Precios!AE83*Precios!AE$3</f>
        <v>0</v>
      </c>
      <c r="AJ85" s="12">
        <f>+Precios!AF83*Precios!AF$3</f>
        <v>0</v>
      </c>
      <c r="AK85" s="12">
        <f>+Precios!AG83*Precios!AG$3</f>
        <v>0</v>
      </c>
      <c r="AL85" s="12">
        <f>+Precios!AH83*Precios!AH$3</f>
        <v>0</v>
      </c>
      <c r="AM85" s="12">
        <f>+Precios!AI83*Precios!AI$3</f>
        <v>0</v>
      </c>
      <c r="AN85" s="12">
        <f>+Precios!AJ83*Precios!AJ$3</f>
        <v>0</v>
      </c>
      <c r="AO85" s="12">
        <f>+Precios!AK83*Precios!AK$3</f>
        <v>0</v>
      </c>
      <c r="AP85" s="12">
        <f>+Precios!AL83*Precios!AL$3</f>
        <v>0</v>
      </c>
      <c r="AQ85" s="12">
        <f>+Precios!AM83*Precios!AM$3</f>
        <v>0</v>
      </c>
      <c r="AR85" s="12">
        <f>+Precios!AN83*Precios!AN$3</f>
        <v>0</v>
      </c>
      <c r="AS85" s="12">
        <f>+Precios!AO83*Precios!AO$3</f>
        <v>0</v>
      </c>
      <c r="AT85" s="12">
        <f>+Precios!AP83*Precios!AP$3</f>
        <v>0</v>
      </c>
      <c r="AU85" s="12">
        <f>+Precios!AQ83*Precios!AQ$3</f>
        <v>0</v>
      </c>
      <c r="AV85" s="12">
        <f>+Precios!AR83*Precios!AR$3</f>
        <v>0</v>
      </c>
      <c r="AW85" s="12">
        <f>+Precios!AS83*Precios!AS$3</f>
        <v>0</v>
      </c>
      <c r="AX85" s="12">
        <f>+Precios!AT83*Precios!AT$3</f>
        <v>0</v>
      </c>
      <c r="AY85" s="12">
        <f>+Precios!AU83*$AY$3</f>
        <v>63573.86</v>
      </c>
      <c r="AZ85" s="12">
        <f>+Precios!AV83*Precios!AV$3</f>
        <v>0</v>
      </c>
      <c r="BA85" s="12">
        <f>+Precios!AW83*Precios!AW$3</f>
        <v>0</v>
      </c>
      <c r="BB85" s="12">
        <f>+Precios!AX83*Precios!AX$3</f>
        <v>0</v>
      </c>
      <c r="BC85" s="12">
        <f>+Precios!AY83*Precios!AY$3</f>
        <v>0</v>
      </c>
      <c r="BD85" s="12">
        <f>+Precios!AZ83*Precios!AZ$3</f>
        <v>0</v>
      </c>
      <c r="BE85" s="12">
        <f>+Precios!BA83*Precios!BA$3</f>
        <v>0</v>
      </c>
      <c r="BF85" s="12">
        <f>+Precios!BB83*Precios!BB$3</f>
        <v>0</v>
      </c>
      <c r="BG85" s="12">
        <f>+Precios!BC83*Precios!BC$3</f>
        <v>0</v>
      </c>
      <c r="BH85" s="12">
        <f>+Precios!BD83*$BH$3</f>
        <v>62715.539999999994</v>
      </c>
      <c r="BI85" s="12">
        <f>+Precios!BE83*Precios!BE$3</f>
        <v>0</v>
      </c>
      <c r="BJ85" s="12">
        <f>+Precios!BF83*Precios!BF$3</f>
        <v>0</v>
      </c>
      <c r="BK85" s="12">
        <f>+Precios!BG83*Precios!BG$3</f>
        <v>0</v>
      </c>
      <c r="BL85" s="12">
        <f>+Precios!BH83*Precios!BH$3</f>
        <v>0</v>
      </c>
      <c r="BM85" s="12">
        <f>+Precios!BI83*Precios!BI$3</f>
        <v>0</v>
      </c>
      <c r="BN85" s="12">
        <f>+Precios!BJ83*$BN$3</f>
        <v>0</v>
      </c>
      <c r="BO85" s="12">
        <f>+Precios!BK83*$BO$3</f>
        <v>0</v>
      </c>
      <c r="BP85" s="12">
        <f>+Precios!BL83*Precios!BL$3</f>
        <v>0</v>
      </c>
    </row>
    <row r="86" spans="1:68" ht="15" thickBot="1">
      <c r="A86" s="5">
        <f>+SUM(F86:XFD86)</f>
        <v>174285.7</v>
      </c>
      <c r="B86" s="26"/>
      <c r="C86" s="5">
        <f t="shared" si="1"/>
        <v>53285.80999999999</v>
      </c>
      <c r="D86" s="5">
        <f>1000000+C86-Cost!A86</f>
        <v>803322.35000000009</v>
      </c>
      <c r="E86" s="15">
        <f>+Precios!A84</f>
        <v>46090</v>
      </c>
      <c r="F86" s="12">
        <f>+Precios!B84*Precios!B$3</f>
        <v>0</v>
      </c>
      <c r="G86" s="12">
        <f>+Precios!C84*Precios!C$3</f>
        <v>0</v>
      </c>
      <c r="H86" s="12">
        <f>+Precios!D84*Precios!D$3</f>
        <v>0</v>
      </c>
      <c r="I86" s="12">
        <f>+Precios!E84*Precios!E$3</f>
        <v>0</v>
      </c>
      <c r="J86" s="12">
        <f>+Precios!F84*Precios!F$3</f>
        <v>0</v>
      </c>
      <c r="K86" s="12">
        <f>+Precios!G84*Precios!G$3</f>
        <v>0</v>
      </c>
      <c r="L86" s="12">
        <f>+Precios!H84*Precios!H$3</f>
        <v>0</v>
      </c>
      <c r="M86" s="12">
        <f>+Precios!I84*Precios!I$3</f>
        <v>0</v>
      </c>
      <c r="N86" s="12">
        <f>+Precios!J84*Precios!J$3</f>
        <v>0</v>
      </c>
      <c r="O86" s="12">
        <f>+Precios!K84*Precios!K$3</f>
        <v>0</v>
      </c>
      <c r="P86" s="12">
        <f>+Precios!L84*Precios!L$3</f>
        <v>0</v>
      </c>
      <c r="Q86" s="12">
        <f>+Precios!M84*Precios!M$3</f>
        <v>0</v>
      </c>
      <c r="R86" s="12">
        <f>+Precios!N84*Precios!N$3</f>
        <v>0</v>
      </c>
      <c r="S86" s="12">
        <f>+Precios!O84*Precios!O$3</f>
        <v>0</v>
      </c>
      <c r="T86" s="12">
        <f>+Precios!P84*Precios!P$3</f>
        <v>0</v>
      </c>
      <c r="U86" s="12">
        <f>+Precios!Q84*Precios!Q$3</f>
        <v>0</v>
      </c>
      <c r="V86" s="12">
        <f>+Precios!R84*Precios!R$3</f>
        <v>0</v>
      </c>
      <c r="W86" s="12">
        <f>+Precios!S84*Precios!S$3</f>
        <v>0</v>
      </c>
      <c r="X86" s="12">
        <f>+Precios!T84*Precios!T$3</f>
        <v>0</v>
      </c>
      <c r="Y86" s="12">
        <f>+Precios!U84*Precios!U$3</f>
        <v>0</v>
      </c>
      <c r="Z86" s="12">
        <f>+Precios!V84*Precios!V$3</f>
        <v>0</v>
      </c>
      <c r="AA86" s="12">
        <f>+Precios!W84*Precios!W$3</f>
        <v>0</v>
      </c>
      <c r="AB86" s="12">
        <f>+Precios!X84*Precios!X$3</f>
        <v>0</v>
      </c>
      <c r="AC86" s="12">
        <f>+Precios!Y84*Precios!Y$3</f>
        <v>0</v>
      </c>
      <c r="AD86" s="12">
        <f>+Precios!Z84*Precios!Z$3</f>
        <v>0</v>
      </c>
      <c r="AE86" s="12">
        <f>+Precios!AA84*Precios!AA$3</f>
        <v>0</v>
      </c>
      <c r="AF86" s="12">
        <f>+Precios!AB84*Precios!AB$3</f>
        <v>0</v>
      </c>
      <c r="AG86" s="12">
        <f>+Precios!AC84*Precios!AC$3</f>
        <v>0</v>
      </c>
      <c r="AH86" s="12">
        <f>+Precios!AD84*Precios!AD$3</f>
        <v>0</v>
      </c>
      <c r="AI86" s="12">
        <f>+Precios!AE84*Precios!AE$3</f>
        <v>0</v>
      </c>
      <c r="AJ86" s="12">
        <f>+Precios!AF84*Precios!AF$3</f>
        <v>0</v>
      </c>
      <c r="AK86" s="12">
        <f>+Precios!AG84*Precios!AG$3</f>
        <v>0</v>
      </c>
      <c r="AL86" s="12">
        <f>+Precios!AH84*Precios!AH$3</f>
        <v>0</v>
      </c>
      <c r="AM86" s="12">
        <f>+Precios!AI84*Precios!AI$3</f>
        <v>0</v>
      </c>
      <c r="AN86" s="12">
        <f>+Precios!AJ84*Precios!AJ$3</f>
        <v>0</v>
      </c>
      <c r="AO86" s="12">
        <f>+Precios!AK84*Precios!AK$3</f>
        <v>0</v>
      </c>
      <c r="AP86" s="12">
        <f>+Precios!AL84*Precios!AL$3</f>
        <v>0</v>
      </c>
      <c r="AQ86" s="12">
        <f>+Precios!AM84*Precios!AM$3</f>
        <v>0</v>
      </c>
      <c r="AR86" s="12">
        <f>+Precios!AN84*Precios!AN$3</f>
        <v>0</v>
      </c>
      <c r="AS86" s="12">
        <f>+Precios!AO84*Precios!AO$3</f>
        <v>0</v>
      </c>
      <c r="AT86" s="12">
        <f>+Precios!AP84*Precios!AP$3</f>
        <v>0</v>
      </c>
      <c r="AU86" s="12">
        <f>+Precios!AQ84*Precios!AQ$3</f>
        <v>0</v>
      </c>
      <c r="AV86" s="12">
        <f>+Precios!AR84*Precios!AR$3</f>
        <v>0</v>
      </c>
      <c r="AW86" s="12">
        <f>+Precios!AS84*Precios!AS$3</f>
        <v>0</v>
      </c>
      <c r="AX86" s="12">
        <f>+Precios!AT84*Precios!AT$3</f>
        <v>0</v>
      </c>
      <c r="AY86" s="12">
        <f>+Precios!AU84*$AY$3</f>
        <v>61837.090000000004</v>
      </c>
      <c r="AZ86" s="12">
        <f>+Precios!AV84*Precios!AV$3</f>
        <v>0</v>
      </c>
      <c r="BA86" s="12">
        <f>+Precios!AW84*Precios!AW$3</f>
        <v>0</v>
      </c>
      <c r="BB86" s="12">
        <f>+Precios!AX84*Precios!AX$3</f>
        <v>0</v>
      </c>
      <c r="BC86" s="12">
        <f>+Precios!AY84*Precios!AY$3</f>
        <v>0</v>
      </c>
      <c r="BD86" s="12">
        <f>+Precios!AZ84*Precios!AZ$3</f>
        <v>0</v>
      </c>
      <c r="BE86" s="12">
        <f>+Precios!BA84*Precios!BA$3</f>
        <v>0</v>
      </c>
      <c r="BF86" s="12">
        <f>+Precios!BB84*Precios!BB$3</f>
        <v>0</v>
      </c>
      <c r="BG86" s="12">
        <f>+Precios!BC84*Precios!BC$3</f>
        <v>0</v>
      </c>
      <c r="BH86" s="12">
        <f>+Precios!BD84*$BH$3</f>
        <v>62429.82</v>
      </c>
      <c r="BI86" s="12">
        <f>+Precios!BE84*Precios!BE$3</f>
        <v>0</v>
      </c>
      <c r="BJ86" s="12">
        <f>+Precios!BF84*Precios!BF$3</f>
        <v>50018.79</v>
      </c>
      <c r="BK86" s="12">
        <f>+Precios!BG84*Precios!BG$3</f>
        <v>0</v>
      </c>
      <c r="BL86" s="12">
        <f>+Precios!BH84*Precios!BH$3</f>
        <v>0</v>
      </c>
      <c r="BM86" s="12">
        <f>+Precios!BI84*Precios!BI$3</f>
        <v>0</v>
      </c>
      <c r="BN86" s="12">
        <f>+Precios!BJ84*$BN$3</f>
        <v>0</v>
      </c>
      <c r="BO86" s="12">
        <f>+Precios!BK84*$BO$3</f>
        <v>0</v>
      </c>
      <c r="BP86" s="12">
        <f>+Precios!BL84*Precios!BL$3</f>
        <v>0</v>
      </c>
    </row>
    <row r="87" spans="1:68" ht="15" thickBot="1">
      <c r="A87" s="5">
        <f>+SUM(F87:XFD87)</f>
        <v>180479.28999999998</v>
      </c>
      <c r="B87" s="26"/>
      <c r="C87" s="5">
        <f t="shared" si="1"/>
        <v>53285.80999999999</v>
      </c>
      <c r="D87" s="5">
        <f>1000000+C87-Cost!A87</f>
        <v>803322.35000000009</v>
      </c>
      <c r="E87" s="15">
        <f>+Precios!A85</f>
        <v>46091</v>
      </c>
      <c r="F87" s="12">
        <f>+Precios!B85*Precios!B$3</f>
        <v>0</v>
      </c>
      <c r="G87" s="12">
        <f>+Precios!C85*Precios!C$3</f>
        <v>0</v>
      </c>
      <c r="H87" s="12">
        <f>+Precios!D85*Precios!D$3</f>
        <v>0</v>
      </c>
      <c r="I87" s="12">
        <f>+Precios!E85*Precios!E$3</f>
        <v>0</v>
      </c>
      <c r="J87" s="12">
        <f>+Precios!F85*Precios!F$3</f>
        <v>0</v>
      </c>
      <c r="K87" s="12">
        <f>+Precios!G85*Precios!G$3</f>
        <v>0</v>
      </c>
      <c r="L87" s="12">
        <f>+Precios!H85*Precios!H$3</f>
        <v>0</v>
      </c>
      <c r="M87" s="12">
        <f>+Precios!I85*Precios!I$3</f>
        <v>0</v>
      </c>
      <c r="N87" s="12">
        <f>+Precios!J85*Precios!J$3</f>
        <v>0</v>
      </c>
      <c r="O87" s="12">
        <f>+Precios!K85*Precios!K$3</f>
        <v>0</v>
      </c>
      <c r="P87" s="12">
        <f>+Precios!L85*Precios!L$3</f>
        <v>0</v>
      </c>
      <c r="Q87" s="12">
        <f>+Precios!M85*Precios!M$3</f>
        <v>0</v>
      </c>
      <c r="R87" s="12">
        <f>+Precios!N85*Precios!N$3</f>
        <v>0</v>
      </c>
      <c r="S87" s="12">
        <f>+Precios!O85*Precios!O$3</f>
        <v>0</v>
      </c>
      <c r="T87" s="12">
        <f>+Precios!P85*Precios!P$3</f>
        <v>0</v>
      </c>
      <c r="U87" s="12">
        <f>+Precios!Q85*Precios!Q$3</f>
        <v>0</v>
      </c>
      <c r="V87" s="12">
        <f>+Precios!R85*Precios!R$3</f>
        <v>0</v>
      </c>
      <c r="W87" s="12">
        <f>+Precios!S85*Precios!S$3</f>
        <v>0</v>
      </c>
      <c r="X87" s="12">
        <f>+Precios!T85*Precios!T$3</f>
        <v>0</v>
      </c>
      <c r="Y87" s="12">
        <f>+Precios!U85*Precios!U$3</f>
        <v>0</v>
      </c>
      <c r="Z87" s="12">
        <f>+Precios!V85*Precios!V$3</f>
        <v>0</v>
      </c>
      <c r="AA87" s="12">
        <f>+Precios!W85*Precios!W$3</f>
        <v>0</v>
      </c>
      <c r="AB87" s="12">
        <f>+Precios!X85*Precios!X$3</f>
        <v>0</v>
      </c>
      <c r="AC87" s="12">
        <f>+Precios!Y85*Precios!Y$3</f>
        <v>0</v>
      </c>
      <c r="AD87" s="12">
        <f>+Precios!Z85*Precios!Z$3</f>
        <v>0</v>
      </c>
      <c r="AE87" s="12">
        <f>+Precios!AA85*Precios!AA$3</f>
        <v>0</v>
      </c>
      <c r="AF87" s="12">
        <f>+Precios!AB85*Precios!AB$3</f>
        <v>0</v>
      </c>
      <c r="AG87" s="12">
        <f>+Precios!AC85*Precios!AC$3</f>
        <v>0</v>
      </c>
      <c r="AH87" s="12">
        <f>+Precios!AD85*Precios!AD$3</f>
        <v>0</v>
      </c>
      <c r="AI87" s="12">
        <f>+Precios!AE85*Precios!AE$3</f>
        <v>0</v>
      </c>
      <c r="AJ87" s="12">
        <f>+Precios!AF85*Precios!AF$3</f>
        <v>0</v>
      </c>
      <c r="AK87" s="12">
        <f>+Precios!AG85*Precios!AG$3</f>
        <v>0</v>
      </c>
      <c r="AL87" s="12">
        <f>+Precios!AH85*Precios!AH$3</f>
        <v>0</v>
      </c>
      <c r="AM87" s="12">
        <f>+Precios!AI85*Precios!AI$3</f>
        <v>0</v>
      </c>
      <c r="AN87" s="12">
        <f>+Precios!AJ85*Precios!AJ$3</f>
        <v>0</v>
      </c>
      <c r="AO87" s="12">
        <f>+Precios!AK85*Precios!AK$3</f>
        <v>0</v>
      </c>
      <c r="AP87" s="12">
        <f>+Precios!AL85*Precios!AL$3</f>
        <v>0</v>
      </c>
      <c r="AQ87" s="12">
        <f>+Precios!AM85*Precios!AM$3</f>
        <v>0</v>
      </c>
      <c r="AR87" s="12">
        <f>+Precios!AN85*Precios!AN$3</f>
        <v>0</v>
      </c>
      <c r="AS87" s="12">
        <f>+Precios!AO85*Precios!AO$3</f>
        <v>0</v>
      </c>
      <c r="AT87" s="12">
        <f>+Precios!AP85*Precios!AP$3</f>
        <v>0</v>
      </c>
      <c r="AU87" s="12">
        <f>+Precios!AQ85*Precios!AQ$3</f>
        <v>0</v>
      </c>
      <c r="AV87" s="12">
        <f>+Precios!AR85*Precios!AR$3</f>
        <v>0</v>
      </c>
      <c r="AW87" s="12">
        <f>+Precios!AS85*Precios!AS$3</f>
        <v>0</v>
      </c>
      <c r="AX87" s="12">
        <f>+Precios!AT85*Precios!AT$3</f>
        <v>0</v>
      </c>
      <c r="AY87" s="12">
        <f>+Precios!AU85*$AY$3</f>
        <v>60221.49</v>
      </c>
      <c r="AZ87" s="12">
        <f>+Precios!AV85*Precios!AV$3</f>
        <v>0</v>
      </c>
      <c r="BA87" s="12">
        <f>+Precios!AW85*Precios!AW$3</f>
        <v>0</v>
      </c>
      <c r="BB87" s="12">
        <f>+Precios!AX85*Precios!AX$3</f>
        <v>0</v>
      </c>
      <c r="BC87" s="12">
        <f>+Precios!AY85*Precios!AY$3</f>
        <v>0</v>
      </c>
      <c r="BD87" s="12">
        <f>+Precios!AZ85*Precios!AZ$3</f>
        <v>0</v>
      </c>
      <c r="BE87" s="12">
        <f>+Precios!BA85*Precios!BA$3</f>
        <v>0</v>
      </c>
      <c r="BF87" s="12">
        <f>+Precios!BB85*Precios!BB$3</f>
        <v>0</v>
      </c>
      <c r="BG87" s="12">
        <f>+Precios!BC85*Precios!BC$3</f>
        <v>0</v>
      </c>
      <c r="BH87" s="12">
        <f>+Precios!BD85*$BH$3</f>
        <v>65715.599999999991</v>
      </c>
      <c r="BI87" s="12">
        <f>+Precios!BE85*Precios!BE$3</f>
        <v>0</v>
      </c>
      <c r="BJ87" s="12">
        <f>+Precios!BF85*Precios!BF$3</f>
        <v>54542.2</v>
      </c>
      <c r="BK87" s="12">
        <f>+Precios!BG85*Precios!BG$3</f>
        <v>0</v>
      </c>
      <c r="BL87" s="12">
        <f>+Precios!BH85*Precios!BH$3</f>
        <v>0</v>
      </c>
      <c r="BM87" s="12">
        <f>+Precios!BI85*Precios!BI$3</f>
        <v>0</v>
      </c>
      <c r="BN87" s="12">
        <f>+Precios!BJ85*$BN$3</f>
        <v>0</v>
      </c>
      <c r="BO87" s="12">
        <f>+Precios!BK85*$BO$3</f>
        <v>0</v>
      </c>
      <c r="BP87" s="12">
        <f>+Precios!BL85*Precios!BL$3</f>
        <v>0</v>
      </c>
    </row>
    <row r="88" spans="1:68" ht="15" thickBot="1">
      <c r="A88" s="5">
        <f>+SUM(F88:XFD88)</f>
        <v>178047.78</v>
      </c>
      <c r="B88" s="26"/>
      <c r="C88" s="5">
        <f t="shared" si="1"/>
        <v>53285.80999999999</v>
      </c>
      <c r="D88" s="5">
        <f>1000000+C88-Cost!A88</f>
        <v>803322.35000000009</v>
      </c>
      <c r="E88" s="15">
        <f>+Precios!A86</f>
        <v>46092</v>
      </c>
      <c r="F88" s="12">
        <f>+Precios!B86*Precios!B$3</f>
        <v>0</v>
      </c>
      <c r="G88" s="12">
        <f>+Precios!C86*Precios!C$3</f>
        <v>0</v>
      </c>
      <c r="H88" s="12">
        <f>+Precios!D86*Precios!D$3</f>
        <v>0</v>
      </c>
      <c r="I88" s="12">
        <f>+Precios!E86*Precios!E$3</f>
        <v>0</v>
      </c>
      <c r="J88" s="12">
        <f>+Precios!F86*Precios!F$3</f>
        <v>0</v>
      </c>
      <c r="K88" s="12">
        <f>+Precios!G86*Precios!G$3</f>
        <v>0</v>
      </c>
      <c r="L88" s="12">
        <f>+Precios!H86*Precios!H$3</f>
        <v>0</v>
      </c>
      <c r="M88" s="12">
        <f>+Precios!I86*Precios!I$3</f>
        <v>0</v>
      </c>
      <c r="N88" s="12">
        <f>+Precios!J86*Precios!J$3</f>
        <v>0</v>
      </c>
      <c r="O88" s="12">
        <f>+Precios!K86*Precios!K$3</f>
        <v>0</v>
      </c>
      <c r="P88" s="12">
        <f>+Precios!L86*Precios!L$3</f>
        <v>0</v>
      </c>
      <c r="Q88" s="12">
        <f>+Precios!M86*Precios!M$3</f>
        <v>0</v>
      </c>
      <c r="R88" s="12">
        <f>+Precios!N86*Precios!N$3</f>
        <v>0</v>
      </c>
      <c r="S88" s="12">
        <f>+Precios!O86*Precios!O$3</f>
        <v>0</v>
      </c>
      <c r="T88" s="12">
        <f>+Precios!P86*Precios!P$3</f>
        <v>0</v>
      </c>
      <c r="U88" s="12">
        <f>+Precios!Q86*Precios!Q$3</f>
        <v>0</v>
      </c>
      <c r="V88" s="12">
        <f>+Precios!R86*Precios!R$3</f>
        <v>0</v>
      </c>
      <c r="W88" s="12">
        <f>+Precios!S86*Precios!S$3</f>
        <v>0</v>
      </c>
      <c r="X88" s="12">
        <f>+Precios!T86*Precios!T$3</f>
        <v>0</v>
      </c>
      <c r="Y88" s="12">
        <f>+Precios!U86*Precios!U$3</f>
        <v>0</v>
      </c>
      <c r="Z88" s="12">
        <f>+Precios!V86*Precios!V$3</f>
        <v>0</v>
      </c>
      <c r="AA88" s="12">
        <f>+Precios!W86*Precios!W$3</f>
        <v>0</v>
      </c>
      <c r="AB88" s="12">
        <f>+Precios!X86*Precios!X$3</f>
        <v>0</v>
      </c>
      <c r="AC88" s="12">
        <f>+Precios!Y86*Precios!Y$3</f>
        <v>0</v>
      </c>
      <c r="AD88" s="12">
        <f>+Precios!Z86*Precios!Z$3</f>
        <v>0</v>
      </c>
      <c r="AE88" s="12">
        <f>+Precios!AA86*Precios!AA$3</f>
        <v>0</v>
      </c>
      <c r="AF88" s="12">
        <f>+Precios!AB86*Precios!AB$3</f>
        <v>0</v>
      </c>
      <c r="AG88" s="12">
        <f>+Precios!AC86*Precios!AC$3</f>
        <v>0</v>
      </c>
      <c r="AH88" s="12">
        <f>+Precios!AD86*Precios!AD$3</f>
        <v>0</v>
      </c>
      <c r="AI88" s="12">
        <f>+Precios!AE86*Precios!AE$3</f>
        <v>0</v>
      </c>
      <c r="AJ88" s="12">
        <f>+Precios!AF86*Precios!AF$3</f>
        <v>0</v>
      </c>
      <c r="AK88" s="12">
        <f>+Precios!AG86*Precios!AG$3</f>
        <v>0</v>
      </c>
      <c r="AL88" s="12">
        <f>+Precios!AH86*Precios!AH$3</f>
        <v>0</v>
      </c>
      <c r="AM88" s="12">
        <f>+Precios!AI86*Precios!AI$3</f>
        <v>0</v>
      </c>
      <c r="AN88" s="12">
        <f>+Precios!AJ86*Precios!AJ$3</f>
        <v>0</v>
      </c>
      <c r="AO88" s="12">
        <f>+Precios!AK86*Precios!AK$3</f>
        <v>0</v>
      </c>
      <c r="AP88" s="12">
        <f>+Precios!AL86*Precios!AL$3</f>
        <v>0</v>
      </c>
      <c r="AQ88" s="12">
        <f>+Precios!AM86*Precios!AM$3</f>
        <v>0</v>
      </c>
      <c r="AR88" s="12">
        <f>+Precios!AN86*Precios!AN$3</f>
        <v>0</v>
      </c>
      <c r="AS88" s="12">
        <f>+Precios!AO86*Precios!AO$3</f>
        <v>0</v>
      </c>
      <c r="AT88" s="12">
        <f>+Precios!AP86*Precios!AP$3</f>
        <v>0</v>
      </c>
      <c r="AU88" s="12">
        <f>+Precios!AQ86*Precios!AQ$3</f>
        <v>0</v>
      </c>
      <c r="AV88" s="12">
        <f>+Precios!AR86*Precios!AR$3</f>
        <v>0</v>
      </c>
      <c r="AW88" s="12">
        <f>+Precios!AS86*Precios!AS$3</f>
        <v>0</v>
      </c>
      <c r="AX88" s="12">
        <f>+Precios!AT86*Precios!AT$3</f>
        <v>0</v>
      </c>
      <c r="AY88" s="12">
        <f>+Precios!AU86*$AY$3</f>
        <v>57798.090000000004</v>
      </c>
      <c r="AZ88" s="12">
        <f>+Precios!AV86*Precios!AV$3</f>
        <v>0</v>
      </c>
      <c r="BA88" s="12">
        <f>+Precios!AW86*Precios!AW$3</f>
        <v>0</v>
      </c>
      <c r="BB88" s="12">
        <f>+Precios!AX86*Precios!AX$3</f>
        <v>0</v>
      </c>
      <c r="BC88" s="12">
        <f>+Precios!AY86*Precios!AY$3</f>
        <v>0</v>
      </c>
      <c r="BD88" s="12">
        <f>+Precios!AZ86*Precios!AZ$3</f>
        <v>0</v>
      </c>
      <c r="BE88" s="12">
        <f>+Precios!BA86*Precios!BA$3</f>
        <v>0</v>
      </c>
      <c r="BF88" s="12">
        <f>+Precios!BB86*Precios!BB$3</f>
        <v>0</v>
      </c>
      <c r="BG88" s="12">
        <f>+Precios!BC86*Precios!BC$3</f>
        <v>0</v>
      </c>
      <c r="BH88" s="12">
        <f>+Precios!BD86*$BH$3</f>
        <v>65429.88</v>
      </c>
      <c r="BI88" s="12">
        <f>+Precios!BE86*Precios!BE$3</f>
        <v>0</v>
      </c>
      <c r="BJ88" s="12">
        <f>+Precios!BF86*Precios!BF$3</f>
        <v>54819.81</v>
      </c>
      <c r="BK88" s="12">
        <f>+Precios!BG86*Precios!BG$3</f>
        <v>0</v>
      </c>
      <c r="BL88" s="12">
        <f>+Precios!BH86*Precios!BH$3</f>
        <v>0</v>
      </c>
      <c r="BM88" s="12">
        <f>+Precios!BI86*Precios!BI$3</f>
        <v>0</v>
      </c>
      <c r="BN88" s="12">
        <f>+Precios!BJ86*$BN$3</f>
        <v>0</v>
      </c>
      <c r="BO88" s="12">
        <f>+Precios!BK86*$BO$3</f>
        <v>0</v>
      </c>
      <c r="BP88" s="12">
        <f>+Precios!BL86*Precios!BL$3</f>
        <v>0</v>
      </c>
    </row>
    <row r="89" spans="1:68" ht="15" thickBot="1">
      <c r="A89" s="5">
        <f>+SUM(F89:XFD89)</f>
        <v>178777.40999999997</v>
      </c>
      <c r="B89" s="26"/>
      <c r="C89" s="5">
        <f t="shared" si="1"/>
        <v>53285.80999999999</v>
      </c>
      <c r="D89" s="5">
        <f>1000000+C89-Cost!A89</f>
        <v>803322.35000000009</v>
      </c>
      <c r="E89" s="15">
        <f>+Precios!A87</f>
        <v>46093</v>
      </c>
      <c r="F89" s="12">
        <f>+Precios!B87*Precios!B$3</f>
        <v>0</v>
      </c>
      <c r="G89" s="12">
        <f>+Precios!C87*Precios!C$3</f>
        <v>0</v>
      </c>
      <c r="H89" s="12">
        <f>+Precios!D87*Precios!D$3</f>
        <v>0</v>
      </c>
      <c r="I89" s="12">
        <f>+Precios!E87*Precios!E$3</f>
        <v>0</v>
      </c>
      <c r="J89" s="12">
        <f>+Precios!F87*Precios!F$3</f>
        <v>0</v>
      </c>
      <c r="K89" s="12">
        <f>+Precios!G87*Precios!G$3</f>
        <v>0</v>
      </c>
      <c r="L89" s="12">
        <f>+Precios!H87*Precios!H$3</f>
        <v>0</v>
      </c>
      <c r="M89" s="12">
        <f>+Precios!I87*Precios!I$3</f>
        <v>0</v>
      </c>
      <c r="N89" s="12">
        <f>+Precios!J87*Precios!J$3</f>
        <v>0</v>
      </c>
      <c r="O89" s="12">
        <f>+Precios!K87*Precios!K$3</f>
        <v>0</v>
      </c>
      <c r="P89" s="12">
        <f>+Precios!L87*Precios!L$3</f>
        <v>0</v>
      </c>
      <c r="Q89" s="12">
        <f>+Precios!M87*Precios!M$3</f>
        <v>0</v>
      </c>
      <c r="R89" s="12">
        <f>+Precios!N87*Precios!N$3</f>
        <v>0</v>
      </c>
      <c r="S89" s="12">
        <f>+Precios!O87*Precios!O$3</f>
        <v>0</v>
      </c>
      <c r="T89" s="12">
        <f>+Precios!P87*Precios!P$3</f>
        <v>0</v>
      </c>
      <c r="U89" s="12">
        <f>+Precios!Q87*Precios!Q$3</f>
        <v>0</v>
      </c>
      <c r="V89" s="12">
        <f>+Precios!R87*Precios!R$3</f>
        <v>0</v>
      </c>
      <c r="W89" s="12">
        <f>+Precios!S87*Precios!S$3</f>
        <v>0</v>
      </c>
      <c r="X89" s="12">
        <f>+Precios!T87*Precios!T$3</f>
        <v>0</v>
      </c>
      <c r="Y89" s="12">
        <f>+Precios!U87*Precios!U$3</f>
        <v>0</v>
      </c>
      <c r="Z89" s="12">
        <f>+Precios!V87*Precios!V$3</f>
        <v>0</v>
      </c>
      <c r="AA89" s="12">
        <f>+Precios!W87*Precios!W$3</f>
        <v>0</v>
      </c>
      <c r="AB89" s="12">
        <f>+Precios!X87*Precios!X$3</f>
        <v>0</v>
      </c>
      <c r="AC89" s="12">
        <f>+Precios!Y87*Precios!Y$3</f>
        <v>0</v>
      </c>
      <c r="AD89" s="12">
        <f>+Precios!Z87*Precios!Z$3</f>
        <v>0</v>
      </c>
      <c r="AE89" s="12">
        <f>+Precios!AA87*Precios!AA$3</f>
        <v>0</v>
      </c>
      <c r="AF89" s="12">
        <f>+Precios!AB87*Precios!AB$3</f>
        <v>0</v>
      </c>
      <c r="AG89" s="12">
        <f>+Precios!AC87*Precios!AC$3</f>
        <v>0</v>
      </c>
      <c r="AH89" s="12">
        <f>+Precios!AD87*Precios!AD$3</f>
        <v>0</v>
      </c>
      <c r="AI89" s="12">
        <f>+Precios!AE87*Precios!AE$3</f>
        <v>0</v>
      </c>
      <c r="AJ89" s="12">
        <f>+Precios!AF87*Precios!AF$3</f>
        <v>0</v>
      </c>
      <c r="AK89" s="12">
        <f>+Precios!AG87*Precios!AG$3</f>
        <v>0</v>
      </c>
      <c r="AL89" s="12">
        <f>+Precios!AH87*Precios!AH$3</f>
        <v>0</v>
      </c>
      <c r="AM89" s="12">
        <f>+Precios!AI87*Precios!AI$3</f>
        <v>0</v>
      </c>
      <c r="AN89" s="12">
        <f>+Precios!AJ87*Precios!AJ$3</f>
        <v>0</v>
      </c>
      <c r="AO89" s="12">
        <f>+Precios!AK87*Precios!AK$3</f>
        <v>0</v>
      </c>
      <c r="AP89" s="12">
        <f>+Precios!AL87*Precios!AL$3</f>
        <v>0</v>
      </c>
      <c r="AQ89" s="12">
        <f>+Precios!AM87*Precios!AM$3</f>
        <v>0</v>
      </c>
      <c r="AR89" s="12">
        <f>+Precios!AN87*Precios!AN$3</f>
        <v>0</v>
      </c>
      <c r="AS89" s="12">
        <f>+Precios!AO87*Precios!AO$3</f>
        <v>0</v>
      </c>
      <c r="AT89" s="12">
        <f>+Precios!AP87*Precios!AP$3</f>
        <v>0</v>
      </c>
      <c r="AU89" s="12">
        <f>+Precios!AQ87*Precios!AQ$3</f>
        <v>0</v>
      </c>
      <c r="AV89" s="12">
        <f>+Precios!AR87*Precios!AR$3</f>
        <v>0</v>
      </c>
      <c r="AW89" s="12">
        <f>+Precios!AS87*Precios!AS$3</f>
        <v>0</v>
      </c>
      <c r="AX89" s="12">
        <f>+Precios!AT87*Precios!AT$3</f>
        <v>0</v>
      </c>
      <c r="AY89" s="12">
        <f>+Precios!AU87*$AY$3</f>
        <v>56344.049999999996</v>
      </c>
      <c r="AZ89" s="12">
        <f>+Precios!AV87*Precios!AV$3</f>
        <v>0</v>
      </c>
      <c r="BA89" s="12">
        <f>+Precios!AW87*Precios!AW$3</f>
        <v>0</v>
      </c>
      <c r="BB89" s="12">
        <f>+Precios!AX87*Precios!AX$3</f>
        <v>0</v>
      </c>
      <c r="BC89" s="12">
        <f>+Precios!AY87*Precios!AY$3</f>
        <v>0</v>
      </c>
      <c r="BD89" s="12">
        <f>+Precios!AZ87*Precios!AZ$3</f>
        <v>0</v>
      </c>
      <c r="BE89" s="12">
        <f>+Precios!BA87*Precios!BA$3</f>
        <v>0</v>
      </c>
      <c r="BF89" s="12">
        <f>+Precios!BB87*Precios!BB$3</f>
        <v>0</v>
      </c>
      <c r="BG89" s="12">
        <f>+Precios!BC87*Precios!BC$3</f>
        <v>0</v>
      </c>
      <c r="BH89" s="12">
        <f>+Precios!BD87*$BH$3</f>
        <v>67858.5</v>
      </c>
      <c r="BI89" s="12">
        <f>+Precios!BE87*Precios!BE$3</f>
        <v>0</v>
      </c>
      <c r="BJ89" s="12">
        <f>+Precios!BF87*Precios!BF$3</f>
        <v>54574.86</v>
      </c>
      <c r="BK89" s="12">
        <f>+Precios!BG87*Precios!BG$3</f>
        <v>0</v>
      </c>
      <c r="BL89" s="12">
        <f>+Precios!BH87*Precios!BH$3</f>
        <v>0</v>
      </c>
      <c r="BM89" s="12">
        <f>+Precios!BI87*Precios!BI$3</f>
        <v>0</v>
      </c>
      <c r="BN89" s="12">
        <f>+Precios!BJ87*$BN$3</f>
        <v>0</v>
      </c>
      <c r="BO89" s="12">
        <f>+Precios!BK87*$BO$3</f>
        <v>0</v>
      </c>
      <c r="BP89" s="12">
        <f>+Precios!BL87*Precios!BL$3</f>
        <v>0</v>
      </c>
    </row>
    <row r="90" spans="1:68" ht="15" thickBot="1">
      <c r="A90" s="5">
        <f>+SUM(F90:XFD90)</f>
        <v>170865.37</v>
      </c>
      <c r="B90" s="26"/>
      <c r="C90" s="5">
        <f t="shared" si="1"/>
        <v>53285.80999999999</v>
      </c>
      <c r="D90" s="5">
        <f>1000000+C90-Cost!A90</f>
        <v>803322.35000000009</v>
      </c>
      <c r="E90" s="15">
        <f>+Precios!A88</f>
        <v>46094</v>
      </c>
      <c r="F90" s="12">
        <f>+Precios!B88*Precios!B$3</f>
        <v>0</v>
      </c>
      <c r="G90" s="12">
        <f>+Precios!C88*Precios!C$3</f>
        <v>0</v>
      </c>
      <c r="H90" s="12">
        <f>+Precios!D88*Precios!D$3</f>
        <v>0</v>
      </c>
      <c r="I90" s="12">
        <f>+Precios!E88*Precios!E$3</f>
        <v>0</v>
      </c>
      <c r="J90" s="12">
        <f>+Precios!F88*Precios!F$3</f>
        <v>0</v>
      </c>
      <c r="K90" s="12">
        <f>+Precios!G88*Precios!G$3</f>
        <v>0</v>
      </c>
      <c r="L90" s="12">
        <f>+Precios!H88*Precios!H$3</f>
        <v>0</v>
      </c>
      <c r="M90" s="12">
        <f>+Precios!I88*Precios!I$3</f>
        <v>0</v>
      </c>
      <c r="N90" s="12">
        <f>+Precios!J88*Precios!J$3</f>
        <v>0</v>
      </c>
      <c r="O90" s="12">
        <f>+Precios!K88*Precios!K$3</f>
        <v>0</v>
      </c>
      <c r="P90" s="12">
        <f>+Precios!L88*Precios!L$3</f>
        <v>0</v>
      </c>
      <c r="Q90" s="12">
        <f>+Precios!M88*Precios!M$3</f>
        <v>0</v>
      </c>
      <c r="R90" s="12">
        <f>+Precios!N88*Precios!N$3</f>
        <v>0</v>
      </c>
      <c r="S90" s="12">
        <f>+Precios!O88*Precios!O$3</f>
        <v>0</v>
      </c>
      <c r="T90" s="12">
        <f>+Precios!P88*Precios!P$3</f>
        <v>0</v>
      </c>
      <c r="U90" s="12">
        <f>+Precios!Q88*Precios!Q$3</f>
        <v>0</v>
      </c>
      <c r="V90" s="12">
        <f>+Precios!R88*Precios!R$3</f>
        <v>0</v>
      </c>
      <c r="W90" s="12">
        <f>+Precios!S88*Precios!S$3</f>
        <v>0</v>
      </c>
      <c r="X90" s="12">
        <f>+Precios!T88*Precios!T$3</f>
        <v>0</v>
      </c>
      <c r="Y90" s="12">
        <f>+Precios!U88*Precios!U$3</f>
        <v>0</v>
      </c>
      <c r="Z90" s="12">
        <f>+Precios!V88*Precios!V$3</f>
        <v>0</v>
      </c>
      <c r="AA90" s="12">
        <f>+Precios!W88*Precios!W$3</f>
        <v>0</v>
      </c>
      <c r="AB90" s="12">
        <f>+Precios!X88*Precios!X$3</f>
        <v>0</v>
      </c>
      <c r="AC90" s="12">
        <f>+Precios!Y88*Precios!Y$3</f>
        <v>0</v>
      </c>
      <c r="AD90" s="12">
        <f>+Precios!Z88*Precios!Z$3</f>
        <v>0</v>
      </c>
      <c r="AE90" s="12">
        <f>+Precios!AA88*Precios!AA$3</f>
        <v>0</v>
      </c>
      <c r="AF90" s="12">
        <f>+Precios!AB88*Precios!AB$3</f>
        <v>0</v>
      </c>
      <c r="AG90" s="12">
        <f>+Precios!AC88*Precios!AC$3</f>
        <v>0</v>
      </c>
      <c r="AH90" s="12">
        <f>+Precios!AD88*Precios!AD$3</f>
        <v>0</v>
      </c>
      <c r="AI90" s="12">
        <f>+Precios!AE88*Precios!AE$3</f>
        <v>0</v>
      </c>
      <c r="AJ90" s="12">
        <f>+Precios!AF88*Precios!AF$3</f>
        <v>0</v>
      </c>
      <c r="AK90" s="12">
        <f>+Precios!AG88*Precios!AG$3</f>
        <v>0</v>
      </c>
      <c r="AL90" s="12">
        <f>+Precios!AH88*Precios!AH$3</f>
        <v>0</v>
      </c>
      <c r="AM90" s="12">
        <f>+Precios!AI88*Precios!AI$3</f>
        <v>0</v>
      </c>
      <c r="AN90" s="12">
        <f>+Precios!AJ88*Precios!AJ$3</f>
        <v>0</v>
      </c>
      <c r="AO90" s="12">
        <f>+Precios!AK88*Precios!AK$3</f>
        <v>0</v>
      </c>
      <c r="AP90" s="12">
        <f>+Precios!AL88*Precios!AL$3</f>
        <v>0</v>
      </c>
      <c r="AQ90" s="12">
        <f>+Precios!AM88*Precios!AM$3</f>
        <v>0</v>
      </c>
      <c r="AR90" s="12">
        <f>+Precios!AN88*Precios!AN$3</f>
        <v>0</v>
      </c>
      <c r="AS90" s="12">
        <f>+Precios!AO88*Precios!AO$3</f>
        <v>0</v>
      </c>
      <c r="AT90" s="12">
        <f>+Precios!AP88*Precios!AP$3</f>
        <v>0</v>
      </c>
      <c r="AU90" s="12">
        <f>+Precios!AQ88*Precios!AQ$3</f>
        <v>0</v>
      </c>
      <c r="AV90" s="12">
        <f>+Precios!AR88*Precios!AR$3</f>
        <v>0</v>
      </c>
      <c r="AW90" s="12">
        <f>+Precios!AS88*Precios!AS$3</f>
        <v>0</v>
      </c>
      <c r="AX90" s="12">
        <f>+Precios!AT88*Precios!AT$3</f>
        <v>0</v>
      </c>
      <c r="AY90" s="12">
        <f>+Precios!AU88*$AY$3</f>
        <v>54486.11</v>
      </c>
      <c r="AZ90" s="12">
        <f>+Precios!AV88*Precios!AV$3</f>
        <v>0</v>
      </c>
      <c r="BA90" s="12">
        <f>+Precios!AW88*Precios!AW$3</f>
        <v>0</v>
      </c>
      <c r="BB90" s="12">
        <f>+Precios!AX88*Precios!AX$3</f>
        <v>0</v>
      </c>
      <c r="BC90" s="12">
        <f>+Precios!AY88*Precios!AY$3</f>
        <v>0</v>
      </c>
      <c r="BD90" s="12">
        <f>+Precios!AZ88*Precios!AZ$3</f>
        <v>0</v>
      </c>
      <c r="BE90" s="12">
        <f>+Precios!BA88*Precios!BA$3</f>
        <v>0</v>
      </c>
      <c r="BF90" s="12">
        <f>+Precios!BB88*Precios!BB$3</f>
        <v>0</v>
      </c>
      <c r="BG90" s="12">
        <f>+Precios!BC88*Precios!BC$3</f>
        <v>0</v>
      </c>
      <c r="BH90" s="12">
        <f>+Precios!BD88*$BH$3</f>
        <v>66572.759999999995</v>
      </c>
      <c r="BI90" s="12">
        <f>+Precios!BE88*Precios!BE$3</f>
        <v>0</v>
      </c>
      <c r="BJ90" s="12">
        <f>+Precios!BF88*Precios!BF$3</f>
        <v>49806.5</v>
      </c>
      <c r="BK90" s="12">
        <f>+Precios!BG88*Precios!BG$3</f>
        <v>0</v>
      </c>
      <c r="BL90" s="12">
        <f>+Precios!BH88*Precios!BH$3</f>
        <v>0</v>
      </c>
      <c r="BM90" s="12">
        <f>+Precios!BI88*Precios!BI$3</f>
        <v>0</v>
      </c>
      <c r="BN90" s="12">
        <f>+Precios!BJ88*$BN$3</f>
        <v>0</v>
      </c>
      <c r="BO90" s="12">
        <f>+Precios!BK88*$BO$3</f>
        <v>0</v>
      </c>
      <c r="BP90" s="12">
        <f>+Precios!BL88*Precios!BL$3</f>
        <v>0</v>
      </c>
    </row>
    <row r="91" spans="1:68" ht="15" thickBot="1">
      <c r="A91" s="5">
        <f>+SUM(F91:XFD91)</f>
        <v>168144.31</v>
      </c>
      <c r="B91" s="26"/>
      <c r="C91" s="5">
        <f t="shared" si="1"/>
        <v>53285.80999999999</v>
      </c>
      <c r="D91" s="5">
        <f>1000000+C91-Cost!A91</f>
        <v>803322.35000000009</v>
      </c>
      <c r="E91" s="15">
        <f>+Precios!A89</f>
        <v>46097</v>
      </c>
      <c r="F91" s="12">
        <f>+Precios!B89*Precios!B$3</f>
        <v>0</v>
      </c>
      <c r="G91" s="12">
        <f>+Precios!C89*Precios!C$3</f>
        <v>0</v>
      </c>
      <c r="H91" s="12">
        <f>+Precios!D89*Precios!D$3</f>
        <v>0</v>
      </c>
      <c r="I91" s="12">
        <f>+Precios!E89*Precios!E$3</f>
        <v>0</v>
      </c>
      <c r="J91" s="12">
        <f>+Precios!F89*Precios!F$3</f>
        <v>0</v>
      </c>
      <c r="K91" s="12">
        <f>+Precios!G89*Precios!G$3</f>
        <v>0</v>
      </c>
      <c r="L91" s="12">
        <f>+Precios!H89*Precios!H$3</f>
        <v>0</v>
      </c>
      <c r="M91" s="12">
        <f>+Precios!I89*Precios!I$3</f>
        <v>0</v>
      </c>
      <c r="N91" s="12">
        <f>+Precios!J89*Precios!J$3</f>
        <v>0</v>
      </c>
      <c r="O91" s="12">
        <f>+Precios!K89*Precios!K$3</f>
        <v>0</v>
      </c>
      <c r="P91" s="12">
        <f>+Precios!L89*Precios!L$3</f>
        <v>0</v>
      </c>
      <c r="Q91" s="12">
        <f>+Precios!M89*Precios!M$3</f>
        <v>0</v>
      </c>
      <c r="R91" s="12">
        <f>+Precios!N89*Precios!N$3</f>
        <v>0</v>
      </c>
      <c r="S91" s="12">
        <f>+Precios!O89*Precios!O$3</f>
        <v>0</v>
      </c>
      <c r="T91" s="12">
        <f>+Precios!P89*Precios!P$3</f>
        <v>0</v>
      </c>
      <c r="U91" s="12">
        <f>+Precios!Q89*Precios!Q$3</f>
        <v>0</v>
      </c>
      <c r="V91" s="12">
        <f>+Precios!R89*Precios!R$3</f>
        <v>0</v>
      </c>
      <c r="W91" s="12">
        <f>+Precios!S89*Precios!S$3</f>
        <v>0</v>
      </c>
      <c r="X91" s="12">
        <f>+Precios!T89*Precios!T$3</f>
        <v>0</v>
      </c>
      <c r="Y91" s="12">
        <f>+Precios!U89*Precios!U$3</f>
        <v>0</v>
      </c>
      <c r="Z91" s="12">
        <f>+Precios!V89*Precios!V$3</f>
        <v>0</v>
      </c>
      <c r="AA91" s="12">
        <f>+Precios!W89*Precios!W$3</f>
        <v>0</v>
      </c>
      <c r="AB91" s="12">
        <f>+Precios!X89*Precios!X$3</f>
        <v>0</v>
      </c>
      <c r="AC91" s="12">
        <f>+Precios!Y89*Precios!Y$3</f>
        <v>0</v>
      </c>
      <c r="AD91" s="12">
        <f>+Precios!Z89*Precios!Z$3</f>
        <v>0</v>
      </c>
      <c r="AE91" s="12">
        <f>+Precios!AA89*Precios!AA$3</f>
        <v>0</v>
      </c>
      <c r="AF91" s="12">
        <f>+Precios!AB89*Precios!AB$3</f>
        <v>0</v>
      </c>
      <c r="AG91" s="12">
        <f>+Precios!AC89*Precios!AC$3</f>
        <v>0</v>
      </c>
      <c r="AH91" s="12">
        <f>+Precios!AD89*Precios!AD$3</f>
        <v>0</v>
      </c>
      <c r="AI91" s="12">
        <f>+Precios!AE89*Precios!AE$3</f>
        <v>0</v>
      </c>
      <c r="AJ91" s="12">
        <f>+Precios!AF89*Precios!AF$3</f>
        <v>0</v>
      </c>
      <c r="AK91" s="12">
        <f>+Precios!AG89*Precios!AG$3</f>
        <v>0</v>
      </c>
      <c r="AL91" s="12">
        <f>+Precios!AH89*Precios!AH$3</f>
        <v>0</v>
      </c>
      <c r="AM91" s="12">
        <f>+Precios!AI89*Precios!AI$3</f>
        <v>0</v>
      </c>
      <c r="AN91" s="12">
        <f>+Precios!AJ89*Precios!AJ$3</f>
        <v>0</v>
      </c>
      <c r="AO91" s="12">
        <f>+Precios!AK89*Precios!AK$3</f>
        <v>0</v>
      </c>
      <c r="AP91" s="12">
        <f>+Precios!AL89*Precios!AL$3</f>
        <v>0</v>
      </c>
      <c r="AQ91" s="12">
        <f>+Precios!AM89*Precios!AM$3</f>
        <v>0</v>
      </c>
      <c r="AR91" s="12">
        <f>+Precios!AN89*Precios!AN$3</f>
        <v>0</v>
      </c>
      <c r="AS91" s="12">
        <f>+Precios!AO89*Precios!AO$3</f>
        <v>0</v>
      </c>
      <c r="AT91" s="12">
        <f>+Precios!AP89*Precios!AP$3</f>
        <v>0</v>
      </c>
      <c r="AU91" s="12">
        <f>+Precios!AQ89*Precios!AQ$3</f>
        <v>0</v>
      </c>
      <c r="AV91" s="12">
        <f>+Precios!AR89*Precios!AR$3</f>
        <v>0</v>
      </c>
      <c r="AW91" s="12">
        <f>+Precios!AS89*Precios!AS$3</f>
        <v>0</v>
      </c>
      <c r="AX91" s="12">
        <f>+Precios!AT89*Precios!AT$3</f>
        <v>0</v>
      </c>
      <c r="AY91" s="12">
        <f>+Precios!AU89*$AY$3</f>
        <v>56667.17</v>
      </c>
      <c r="AZ91" s="12">
        <f>+Precios!AV89*Precios!AV$3</f>
        <v>0</v>
      </c>
      <c r="BA91" s="12">
        <f>+Precios!AW89*Precios!AW$3</f>
        <v>0</v>
      </c>
      <c r="BB91" s="12">
        <f>+Precios!AX89*Precios!AX$3</f>
        <v>0</v>
      </c>
      <c r="BC91" s="12">
        <f>+Precios!AY89*Precios!AY$3</f>
        <v>0</v>
      </c>
      <c r="BD91" s="12">
        <f>+Precios!AZ89*Precios!AZ$3</f>
        <v>0</v>
      </c>
      <c r="BE91" s="12">
        <f>+Precios!BA89*Precios!BA$3</f>
        <v>0</v>
      </c>
      <c r="BF91" s="12">
        <f>+Precios!BB89*Precios!BB$3</f>
        <v>0</v>
      </c>
      <c r="BG91" s="12">
        <f>+Precios!BC89*Precios!BC$3</f>
        <v>0</v>
      </c>
      <c r="BH91" s="12">
        <f>+Precios!BD89*$BH$3</f>
        <v>61572.659999999996</v>
      </c>
      <c r="BI91" s="12">
        <f>+Precios!BE89*Precios!BE$3</f>
        <v>0</v>
      </c>
      <c r="BJ91" s="12">
        <f>+Precios!BF89*Precios!BF$3</f>
        <v>49904.479999999996</v>
      </c>
      <c r="BK91" s="12">
        <f>+Precios!BG89*Precios!BG$3</f>
        <v>0</v>
      </c>
      <c r="BL91" s="12">
        <f>+Precios!BH89*Precios!BH$3</f>
        <v>0</v>
      </c>
      <c r="BM91" s="12">
        <f>+Precios!BI89*Precios!BI$3</f>
        <v>0</v>
      </c>
      <c r="BN91" s="12">
        <f>+Precios!BJ89*$BN$3</f>
        <v>0</v>
      </c>
      <c r="BO91" s="12">
        <f>+Precios!BK89*$BO$3</f>
        <v>0</v>
      </c>
      <c r="BP91" s="12">
        <f>+Precios!BL89*Precios!BL$3</f>
        <v>0</v>
      </c>
    </row>
    <row r="92" spans="1:68" ht="15" thickBot="1">
      <c r="A92" s="5">
        <f>+SUM(F92:XFD92)</f>
        <v>172504.49</v>
      </c>
      <c r="B92" s="26"/>
      <c r="C92" s="5">
        <f t="shared" si="1"/>
        <v>53285.80999999999</v>
      </c>
      <c r="D92" s="5">
        <f>1000000+C92-Cost!A92</f>
        <v>803322.35000000009</v>
      </c>
      <c r="E92" s="15">
        <f>+Precios!A90</f>
        <v>46098</v>
      </c>
      <c r="F92" s="12">
        <f>+Precios!B90*Precios!B$3</f>
        <v>0</v>
      </c>
      <c r="G92" s="12">
        <f>+Precios!C90*Precios!C$3</f>
        <v>0</v>
      </c>
      <c r="H92" s="12">
        <f>+Precios!D90*Precios!D$3</f>
        <v>0</v>
      </c>
      <c r="I92" s="12">
        <f>+Precios!E90*Precios!E$3</f>
        <v>0</v>
      </c>
      <c r="J92" s="12">
        <f>+Precios!F90*Precios!F$3</f>
        <v>0</v>
      </c>
      <c r="K92" s="12">
        <f>+Precios!G90*Precios!G$3</f>
        <v>0</v>
      </c>
      <c r="L92" s="12">
        <f>+Precios!H90*Precios!H$3</f>
        <v>0</v>
      </c>
      <c r="M92" s="12">
        <f>+Precios!I90*Precios!I$3</f>
        <v>0</v>
      </c>
      <c r="N92" s="12">
        <f>+Precios!J90*Precios!J$3</f>
        <v>0</v>
      </c>
      <c r="O92" s="12">
        <f>+Precios!K90*Precios!K$3</f>
        <v>0</v>
      </c>
      <c r="P92" s="12">
        <f>+Precios!L90*Precios!L$3</f>
        <v>0</v>
      </c>
      <c r="Q92" s="12">
        <f>+Precios!M90*Precios!M$3</f>
        <v>0</v>
      </c>
      <c r="R92" s="12">
        <f>+Precios!N90*Precios!N$3</f>
        <v>0</v>
      </c>
      <c r="S92" s="12">
        <f>+Precios!O90*Precios!O$3</f>
        <v>0</v>
      </c>
      <c r="T92" s="12">
        <f>+Precios!P90*Precios!P$3</f>
        <v>0</v>
      </c>
      <c r="U92" s="12">
        <f>+Precios!Q90*Precios!Q$3</f>
        <v>0</v>
      </c>
      <c r="V92" s="12">
        <f>+Precios!R90*Precios!R$3</f>
        <v>0</v>
      </c>
      <c r="W92" s="12">
        <f>+Precios!S90*Precios!S$3</f>
        <v>0</v>
      </c>
      <c r="X92" s="12">
        <f>+Precios!T90*Precios!T$3</f>
        <v>0</v>
      </c>
      <c r="Y92" s="12">
        <f>+Precios!U90*Precios!U$3</f>
        <v>0</v>
      </c>
      <c r="Z92" s="12">
        <f>+Precios!V90*Precios!V$3</f>
        <v>0</v>
      </c>
      <c r="AA92" s="12">
        <f>+Precios!W90*Precios!W$3</f>
        <v>0</v>
      </c>
      <c r="AB92" s="12">
        <f>+Precios!X90*Precios!X$3</f>
        <v>0</v>
      </c>
      <c r="AC92" s="12">
        <f>+Precios!Y90*Precios!Y$3</f>
        <v>0</v>
      </c>
      <c r="AD92" s="12">
        <f>+Precios!Z90*Precios!Z$3</f>
        <v>0</v>
      </c>
      <c r="AE92" s="12">
        <f>+Precios!AA90*Precios!AA$3</f>
        <v>0</v>
      </c>
      <c r="AF92" s="12">
        <f>+Precios!AB90*Precios!AB$3</f>
        <v>0</v>
      </c>
      <c r="AG92" s="12">
        <f>+Precios!AC90*Precios!AC$3</f>
        <v>0</v>
      </c>
      <c r="AH92" s="12">
        <f>+Precios!AD90*Precios!AD$3</f>
        <v>0</v>
      </c>
      <c r="AI92" s="12">
        <f>+Precios!AE90*Precios!AE$3</f>
        <v>0</v>
      </c>
      <c r="AJ92" s="12">
        <f>+Precios!AF90*Precios!AF$3</f>
        <v>0</v>
      </c>
      <c r="AK92" s="12">
        <f>+Precios!AG90*Precios!AG$3</f>
        <v>0</v>
      </c>
      <c r="AL92" s="12">
        <f>+Precios!AH90*Precios!AH$3</f>
        <v>0</v>
      </c>
      <c r="AM92" s="12">
        <f>+Precios!AI90*Precios!AI$3</f>
        <v>0</v>
      </c>
      <c r="AN92" s="12">
        <f>+Precios!AJ90*Precios!AJ$3</f>
        <v>0</v>
      </c>
      <c r="AO92" s="12">
        <f>+Precios!AK90*Precios!AK$3</f>
        <v>0</v>
      </c>
      <c r="AP92" s="12">
        <f>+Precios!AL90*Precios!AL$3</f>
        <v>0</v>
      </c>
      <c r="AQ92" s="12">
        <f>+Precios!AM90*Precios!AM$3</f>
        <v>0</v>
      </c>
      <c r="AR92" s="12">
        <f>+Precios!AN90*Precios!AN$3</f>
        <v>0</v>
      </c>
      <c r="AS92" s="12">
        <f>+Precios!AO90*Precios!AO$3</f>
        <v>0</v>
      </c>
      <c r="AT92" s="12">
        <f>+Precios!AP90*Precios!AP$3</f>
        <v>0</v>
      </c>
      <c r="AU92" s="12">
        <f>+Precios!AQ90*Precios!AQ$3</f>
        <v>0</v>
      </c>
      <c r="AV92" s="12">
        <f>+Precios!AR90*Precios!AR$3</f>
        <v>0</v>
      </c>
      <c r="AW92" s="12">
        <f>+Precios!AS90*Precios!AS$3</f>
        <v>0</v>
      </c>
      <c r="AX92" s="12">
        <f>+Precios!AT90*Precios!AT$3</f>
        <v>0</v>
      </c>
      <c r="AY92" s="12">
        <f>+Precios!AU90*$AY$3</f>
        <v>54284.159999999996</v>
      </c>
      <c r="AZ92" s="12">
        <f>+Precios!AV90*Precios!AV$3</f>
        <v>0</v>
      </c>
      <c r="BA92" s="12">
        <f>+Precios!AW90*Precios!AW$3</f>
        <v>0</v>
      </c>
      <c r="BB92" s="12">
        <f>+Precios!AX90*Precios!AX$3</f>
        <v>0</v>
      </c>
      <c r="BC92" s="12">
        <f>+Precios!AY90*Precios!AY$3</f>
        <v>0</v>
      </c>
      <c r="BD92" s="12">
        <f>+Precios!AZ90*Precios!AZ$3</f>
        <v>0</v>
      </c>
      <c r="BE92" s="12">
        <f>+Precios!BA90*Precios!BA$3</f>
        <v>0</v>
      </c>
      <c r="BF92" s="12">
        <f>+Precios!BB90*Precios!BB$3</f>
        <v>0</v>
      </c>
      <c r="BG92" s="12">
        <f>+Precios!BC90*Precios!BC$3</f>
        <v>0</v>
      </c>
      <c r="BH92" s="12">
        <f>+Precios!BD90*$BH$3</f>
        <v>67287.06</v>
      </c>
      <c r="BI92" s="12">
        <f>+Precios!BE90*Precios!BE$3</f>
        <v>0</v>
      </c>
      <c r="BJ92" s="12">
        <f>+Precios!BF90*Precios!BF$3</f>
        <v>50933.270000000004</v>
      </c>
      <c r="BK92" s="12">
        <f>+Precios!BG90*Precios!BG$3</f>
        <v>0</v>
      </c>
      <c r="BL92" s="12">
        <f>+Precios!BH90*Precios!BH$3</f>
        <v>0</v>
      </c>
      <c r="BM92" s="12">
        <f>+Precios!BI90*Precios!BI$3</f>
        <v>0</v>
      </c>
      <c r="BN92" s="12">
        <f>+Precios!BJ90*$BN$3</f>
        <v>0</v>
      </c>
      <c r="BO92" s="12">
        <f>+Precios!BK90*$BO$3</f>
        <v>0</v>
      </c>
      <c r="BP92" s="12">
        <f>+Precios!BL90*Precios!BL$3</f>
        <v>0</v>
      </c>
    </row>
    <row r="93" spans="1:68" ht="15" thickBot="1">
      <c r="A93" s="5">
        <f>+SUM(F93:XFD93)</f>
        <v>169064.51</v>
      </c>
      <c r="B93" s="26"/>
      <c r="C93" s="5">
        <f t="shared" si="1"/>
        <v>53285.80999999999</v>
      </c>
      <c r="D93" s="5">
        <f>1000000+C93-Cost!A93</f>
        <v>803322.35000000009</v>
      </c>
      <c r="E93" s="15">
        <f>+Precios!A91</f>
        <v>46099</v>
      </c>
      <c r="F93" s="12">
        <f>+Precios!B91*Precios!B$3</f>
        <v>0</v>
      </c>
      <c r="G93" s="12">
        <f>+Precios!C91*Precios!C$3</f>
        <v>0</v>
      </c>
      <c r="H93" s="12">
        <f>+Precios!D91*Precios!D$3</f>
        <v>0</v>
      </c>
      <c r="I93" s="12">
        <f>+Precios!E91*Precios!E$3</f>
        <v>0</v>
      </c>
      <c r="J93" s="12">
        <f>+Precios!F91*Precios!F$3</f>
        <v>0</v>
      </c>
      <c r="K93" s="12">
        <f>+Precios!G91*Precios!G$3</f>
        <v>0</v>
      </c>
      <c r="L93" s="12">
        <f>+Precios!H91*Precios!H$3</f>
        <v>0</v>
      </c>
      <c r="M93" s="12">
        <f>+Precios!I91*Precios!I$3</f>
        <v>0</v>
      </c>
      <c r="N93" s="12">
        <f>+Precios!J91*Precios!J$3</f>
        <v>0</v>
      </c>
      <c r="O93" s="12">
        <f>+Precios!K91*Precios!K$3</f>
        <v>0</v>
      </c>
      <c r="P93" s="12">
        <f>+Precios!L91*Precios!L$3</f>
        <v>0</v>
      </c>
      <c r="Q93" s="12">
        <f>+Precios!M91*Precios!M$3</f>
        <v>0</v>
      </c>
      <c r="R93" s="12">
        <f>+Precios!N91*Precios!N$3</f>
        <v>0</v>
      </c>
      <c r="S93" s="12">
        <f>+Precios!O91*Precios!O$3</f>
        <v>0</v>
      </c>
      <c r="T93" s="12">
        <f>+Precios!P91*Precios!P$3</f>
        <v>0</v>
      </c>
      <c r="U93" s="12">
        <f>+Precios!Q91*Precios!Q$3</f>
        <v>0</v>
      </c>
      <c r="V93" s="12">
        <f>+Precios!R91*Precios!R$3</f>
        <v>0</v>
      </c>
      <c r="W93" s="12">
        <f>+Precios!S91*Precios!S$3</f>
        <v>0</v>
      </c>
      <c r="X93" s="12">
        <f>+Precios!T91*Precios!T$3</f>
        <v>0</v>
      </c>
      <c r="Y93" s="12">
        <f>+Precios!U91*Precios!U$3</f>
        <v>0</v>
      </c>
      <c r="Z93" s="12">
        <f>+Precios!V91*Precios!V$3</f>
        <v>0</v>
      </c>
      <c r="AA93" s="12">
        <f>+Precios!W91*Precios!W$3</f>
        <v>0</v>
      </c>
      <c r="AB93" s="12">
        <f>+Precios!X91*Precios!X$3</f>
        <v>0</v>
      </c>
      <c r="AC93" s="12">
        <f>+Precios!Y91*Precios!Y$3</f>
        <v>0</v>
      </c>
      <c r="AD93" s="12">
        <f>+Precios!Z91*Precios!Z$3</f>
        <v>0</v>
      </c>
      <c r="AE93" s="12">
        <f>+Precios!AA91*Precios!AA$3</f>
        <v>0</v>
      </c>
      <c r="AF93" s="12">
        <f>+Precios!AB91*Precios!AB$3</f>
        <v>0</v>
      </c>
      <c r="AG93" s="12">
        <f>+Precios!AC91*Precios!AC$3</f>
        <v>0</v>
      </c>
      <c r="AH93" s="12">
        <f>+Precios!AD91*Precios!AD$3</f>
        <v>0</v>
      </c>
      <c r="AI93" s="12">
        <f>+Precios!AE91*Precios!AE$3</f>
        <v>0</v>
      </c>
      <c r="AJ93" s="12">
        <f>+Precios!AF91*Precios!AF$3</f>
        <v>0</v>
      </c>
      <c r="AK93" s="12">
        <f>+Precios!AG91*Precios!AG$3</f>
        <v>0</v>
      </c>
      <c r="AL93" s="12">
        <f>+Precios!AH91*Precios!AH$3</f>
        <v>0</v>
      </c>
      <c r="AM93" s="12">
        <f>+Precios!AI91*Precios!AI$3</f>
        <v>0</v>
      </c>
      <c r="AN93" s="12">
        <f>+Precios!AJ91*Precios!AJ$3</f>
        <v>0</v>
      </c>
      <c r="AO93" s="12">
        <f>+Precios!AK91*Precios!AK$3</f>
        <v>0</v>
      </c>
      <c r="AP93" s="12">
        <f>+Precios!AL91*Precios!AL$3</f>
        <v>0</v>
      </c>
      <c r="AQ93" s="12">
        <f>+Precios!AM91*Precios!AM$3</f>
        <v>0</v>
      </c>
      <c r="AR93" s="12">
        <f>+Precios!AN91*Precios!AN$3</f>
        <v>0</v>
      </c>
      <c r="AS93" s="12">
        <f>+Precios!AO91*Precios!AO$3</f>
        <v>0</v>
      </c>
      <c r="AT93" s="12">
        <f>+Precios!AP91*Precios!AP$3</f>
        <v>0</v>
      </c>
      <c r="AU93" s="12">
        <f>+Precios!AQ91*Precios!AQ$3</f>
        <v>0</v>
      </c>
      <c r="AV93" s="12">
        <f>+Precios!AR91*Precios!AR$3</f>
        <v>0</v>
      </c>
      <c r="AW93" s="12">
        <f>+Precios!AS91*Precios!AS$3</f>
        <v>0</v>
      </c>
      <c r="AX93" s="12">
        <f>+Precios!AT91*Precios!AT$3</f>
        <v>0</v>
      </c>
      <c r="AY93" s="12">
        <f>+Precios!AU91*$AY$3</f>
        <v>53032.07</v>
      </c>
      <c r="AZ93" s="12">
        <f>+Precios!AV91*Precios!AV$3</f>
        <v>0</v>
      </c>
      <c r="BA93" s="12">
        <f>+Precios!AW91*Precios!AW$3</f>
        <v>0</v>
      </c>
      <c r="BB93" s="12">
        <f>+Precios!AX91*Precios!AX$3</f>
        <v>0</v>
      </c>
      <c r="BC93" s="12">
        <f>+Precios!AY91*Precios!AY$3</f>
        <v>0</v>
      </c>
      <c r="BD93" s="12">
        <f>+Precios!AZ91*Precios!AZ$3</f>
        <v>0</v>
      </c>
      <c r="BE93" s="12">
        <f>+Precios!BA91*Precios!BA$3</f>
        <v>0</v>
      </c>
      <c r="BF93" s="12">
        <f>+Precios!BB91*Precios!BB$3</f>
        <v>0</v>
      </c>
      <c r="BG93" s="12">
        <f>+Precios!BC91*Precios!BC$3</f>
        <v>0</v>
      </c>
      <c r="BH93" s="12">
        <f>+Precios!BD91*$BH$3</f>
        <v>65572.740000000005</v>
      </c>
      <c r="BI93" s="12">
        <f>+Precios!BE91*Precios!BE$3</f>
        <v>0</v>
      </c>
      <c r="BJ93" s="12">
        <f>+Precios!BF91*Precios!BF$3</f>
        <v>50459.7</v>
      </c>
      <c r="BK93" s="12">
        <f>+Precios!BG91*Precios!BG$3</f>
        <v>0</v>
      </c>
      <c r="BL93" s="12">
        <f>+Precios!BH91*Precios!BH$3</f>
        <v>0</v>
      </c>
      <c r="BM93" s="12">
        <f>+Precios!BI91*Precios!BI$3</f>
        <v>0</v>
      </c>
      <c r="BN93" s="12">
        <f>+Precios!BJ91*$BN$3</f>
        <v>0</v>
      </c>
      <c r="BO93" s="12">
        <f>+Precios!BK91*$BO$3</f>
        <v>0</v>
      </c>
      <c r="BP93" s="12">
        <f>+Precios!BL91*Precios!BL$3</f>
        <v>0</v>
      </c>
    </row>
    <row r="94" spans="1:68" ht="15" thickBot="1">
      <c r="A94" s="5">
        <f>+SUM(F94:XFD94)</f>
        <v>168303.45</v>
      </c>
      <c r="B94" s="26">
        <f>+TRACK!M54+TRACK!M55+TRACK!M56</f>
        <v>-10656.36</v>
      </c>
      <c r="C94" s="5">
        <f t="shared" si="1"/>
        <v>42629.44999999999</v>
      </c>
      <c r="D94" s="5">
        <f>1000000+C94-Cost!A94</f>
        <v>742665.99</v>
      </c>
      <c r="E94" s="15">
        <f>+Precios!A92</f>
        <v>46100</v>
      </c>
      <c r="F94" s="12">
        <f>+Precios!B92*Precios!B$3</f>
        <v>0</v>
      </c>
      <c r="G94" s="12">
        <f>+Precios!C92*Precios!C$3</f>
        <v>0</v>
      </c>
      <c r="H94" s="12">
        <f>+Precios!D92*Precios!D$3</f>
        <v>0</v>
      </c>
      <c r="I94" s="12">
        <f>+Precios!E92*Precios!E$3</f>
        <v>0</v>
      </c>
      <c r="J94" s="12">
        <f>+Precios!F92*Precios!F$3</f>
        <v>0</v>
      </c>
      <c r="K94" s="12">
        <f>+Precios!G92*Precios!G$3</f>
        <v>0</v>
      </c>
      <c r="L94" s="12">
        <f>+Precios!H92*Precios!H$3</f>
        <v>0</v>
      </c>
      <c r="M94" s="12">
        <f>+Precios!I92*Precios!I$3</f>
        <v>0</v>
      </c>
      <c r="N94" s="12">
        <f>+Precios!J92*Precios!J$3</f>
        <v>0</v>
      </c>
      <c r="O94" s="12">
        <f>+Precios!K92*Precios!K$3</f>
        <v>0</v>
      </c>
      <c r="P94" s="12">
        <f>+Precios!L92*Precios!L$3</f>
        <v>0</v>
      </c>
      <c r="Q94" s="12">
        <f>+Precios!M92*Precios!M$3</f>
        <v>0</v>
      </c>
      <c r="R94" s="12">
        <f>+Precios!N92*Precios!N$3</f>
        <v>0</v>
      </c>
      <c r="S94" s="12">
        <f>+Precios!O92*Precios!O$3</f>
        <v>0</v>
      </c>
      <c r="T94" s="12">
        <f>+Precios!P92*Precios!P$3</f>
        <v>0</v>
      </c>
      <c r="U94" s="12">
        <f>+Precios!Q92*Precios!Q$3</f>
        <v>0</v>
      </c>
      <c r="V94" s="12">
        <f>+Precios!R92*Precios!R$3</f>
        <v>0</v>
      </c>
      <c r="W94" s="12">
        <f>+Precios!S92*Precios!S$3</f>
        <v>0</v>
      </c>
      <c r="X94" s="12">
        <f>+Precios!T92*Precios!T$3</f>
        <v>0</v>
      </c>
      <c r="Y94" s="12">
        <f>+Precios!U92*Precios!U$3</f>
        <v>0</v>
      </c>
      <c r="Z94" s="12">
        <f>+Precios!V92*Precios!V$3</f>
        <v>0</v>
      </c>
      <c r="AA94" s="12">
        <f>+Precios!W92*Precios!W$3</f>
        <v>0</v>
      </c>
      <c r="AB94" s="12">
        <f>+Precios!X92*Precios!X$3</f>
        <v>0</v>
      </c>
      <c r="AC94" s="12">
        <f>+Precios!Y92*Precios!Y$3</f>
        <v>0</v>
      </c>
      <c r="AD94" s="12">
        <f>+Precios!Z92*Precios!Z$3</f>
        <v>0</v>
      </c>
      <c r="AE94" s="12">
        <f>+Precios!AA92*Precios!AA$3</f>
        <v>0</v>
      </c>
      <c r="AF94" s="12">
        <f>+Precios!AB92*Precios!AB$3</f>
        <v>0</v>
      </c>
      <c r="AG94" s="12">
        <f>+Precios!AC92*Precios!AC$3</f>
        <v>0</v>
      </c>
      <c r="AH94" s="12">
        <f>+Precios!AD92*Precios!AD$3</f>
        <v>0</v>
      </c>
      <c r="AI94" s="12">
        <f>+Precios!AE92*Precios!AE$3</f>
        <v>0</v>
      </c>
      <c r="AJ94" s="12">
        <f>+Precios!AF92*Precios!AF$3</f>
        <v>0</v>
      </c>
      <c r="AK94" s="12">
        <f>+Precios!AG92*Precios!AG$3</f>
        <v>0</v>
      </c>
      <c r="AL94" s="12">
        <f>+Precios!AH92*Precios!AH$3</f>
        <v>0</v>
      </c>
      <c r="AM94" s="12">
        <f>+Precios!AI92*Precios!AI$3</f>
        <v>0</v>
      </c>
      <c r="AN94" s="12">
        <f>+Precios!AJ92*Precios!AJ$3</f>
        <v>0</v>
      </c>
      <c r="AO94" s="12">
        <f>+Precios!AK92*Precios!AK$3</f>
        <v>0</v>
      </c>
      <c r="AP94" s="12">
        <f>+Precios!AL92*Precios!AL$3</f>
        <v>0</v>
      </c>
      <c r="AQ94" s="12">
        <f>+Precios!AM92*Precios!AM$3</f>
        <v>0</v>
      </c>
      <c r="AR94" s="12">
        <f>+Precios!AN92*Precios!AN$3</f>
        <v>0</v>
      </c>
      <c r="AS94" s="12">
        <f>+Precios!AO92*Precios!AO$3</f>
        <v>0</v>
      </c>
      <c r="AT94" s="12">
        <f>+Precios!AP92*Precios!AP$3</f>
        <v>0</v>
      </c>
      <c r="AU94" s="12">
        <f>+Precios!AQ92*Precios!AQ$3</f>
        <v>0</v>
      </c>
      <c r="AV94" s="12">
        <f>+Precios!AR92*Precios!AR$3</f>
        <v>0</v>
      </c>
      <c r="AW94" s="12">
        <f>+Precios!AS92*Precios!AS$3</f>
        <v>0</v>
      </c>
      <c r="AX94" s="12">
        <f>+Precios!AT92*Precios!AT$3</f>
        <v>0</v>
      </c>
      <c r="AY94" s="12">
        <f>+Precios!AU92*$AY$3</f>
        <v>52830.12</v>
      </c>
      <c r="AZ94" s="12">
        <f>+Precios!AV92*Precios!AV$3</f>
        <v>0</v>
      </c>
      <c r="BA94" s="12">
        <f>+Precios!AW92*Precios!AW$3</f>
        <v>0</v>
      </c>
      <c r="BB94" s="12">
        <f>+Precios!AX92*Precios!AX$3</f>
        <v>0</v>
      </c>
      <c r="BC94" s="12">
        <f>+Precios!AY92*Precios!AY$3</f>
        <v>0</v>
      </c>
      <c r="BD94" s="12">
        <f>+Precios!AZ92*Precios!AZ$3</f>
        <v>0</v>
      </c>
      <c r="BE94" s="12">
        <f>+Precios!BA92*Precios!BA$3</f>
        <v>0</v>
      </c>
      <c r="BF94" s="12">
        <f>+Precios!BB92*Precios!BB$3</f>
        <v>0</v>
      </c>
      <c r="BG94" s="12">
        <f>+Precios!BC92*Precios!BC$3</f>
        <v>0</v>
      </c>
      <c r="BH94" s="12">
        <f>+Precios!BD92*$BH$3</f>
        <v>64572.719999999994</v>
      </c>
      <c r="BI94" s="12">
        <f>+Precios!BE92*Precios!BE$3</f>
        <v>0</v>
      </c>
      <c r="BJ94" s="12">
        <f>+Precios!BF92*Precios!BF$3</f>
        <v>50900.61</v>
      </c>
      <c r="BK94" s="12">
        <f>+Precios!BG92*Precios!BG$3</f>
        <v>0</v>
      </c>
      <c r="BL94" s="12">
        <f>+Precios!BH92*Precios!BH$3</f>
        <v>0</v>
      </c>
      <c r="BM94" s="12">
        <f>+Precios!BI92*Precios!BI$3</f>
        <v>0</v>
      </c>
      <c r="BN94" s="12">
        <f>+Precios!BJ92*$BN$3</f>
        <v>0</v>
      </c>
      <c r="BO94" s="12">
        <f>+Precios!BK92*$BO$3</f>
        <v>0</v>
      </c>
      <c r="BP94" s="12">
        <f>+Precios!BL92*Precios!BL$3</f>
        <v>0</v>
      </c>
    </row>
    <row r="95" spans="1:68" ht="15" thickBot="1">
      <c r="A95" s="5">
        <f>+SUM(F95:XFD95)</f>
        <v>158406.91999999998</v>
      </c>
      <c r="B95" s="26"/>
      <c r="C95" s="5">
        <f t="shared" si="1"/>
        <v>42629.44999999999</v>
      </c>
      <c r="D95" s="5">
        <f>1000000+C95-Cost!A95</f>
        <v>742665.99</v>
      </c>
      <c r="E95" s="15">
        <f>+Precios!A93</f>
        <v>46101</v>
      </c>
      <c r="F95" s="12">
        <f>+Precios!B93*Precios!B$3</f>
        <v>0</v>
      </c>
      <c r="G95" s="12">
        <f>+Precios!C93*Precios!C$3</f>
        <v>0</v>
      </c>
      <c r="H95" s="12">
        <f>+Precios!D93*Precios!D$3</f>
        <v>0</v>
      </c>
      <c r="I95" s="12">
        <f>+Precios!E93*Precios!E$3</f>
        <v>0</v>
      </c>
      <c r="J95" s="12">
        <f>+Precios!F93*Precios!F$3</f>
        <v>0</v>
      </c>
      <c r="K95" s="12">
        <f>+Precios!G93*Precios!G$3</f>
        <v>0</v>
      </c>
      <c r="L95" s="12">
        <f>+Precios!H93*Precios!H$3</f>
        <v>0</v>
      </c>
      <c r="M95" s="12">
        <f>+Precios!I93*Precios!I$3</f>
        <v>0</v>
      </c>
      <c r="N95" s="12">
        <f>+Precios!J93*Precios!J$3</f>
        <v>0</v>
      </c>
      <c r="O95" s="12">
        <f>+Precios!K93*Precios!K$3</f>
        <v>0</v>
      </c>
      <c r="P95" s="12">
        <f>+Precios!L93*Precios!L$3</f>
        <v>0</v>
      </c>
      <c r="Q95" s="12">
        <f>+Precios!M93*Precios!M$3</f>
        <v>0</v>
      </c>
      <c r="R95" s="12">
        <f>+Precios!N93*Precios!N$3</f>
        <v>0</v>
      </c>
      <c r="S95" s="12">
        <f>+Precios!O93*Precios!O$3</f>
        <v>0</v>
      </c>
      <c r="T95" s="12">
        <f>+Precios!P93*Precios!P$3</f>
        <v>0</v>
      </c>
      <c r="U95" s="12">
        <f>+Precios!Q93*Precios!Q$3</f>
        <v>0</v>
      </c>
      <c r="V95" s="12">
        <f>+Precios!R93*Precios!R$3</f>
        <v>0</v>
      </c>
      <c r="W95" s="12">
        <f>+Precios!S93*Precios!S$3</f>
        <v>0</v>
      </c>
      <c r="X95" s="12">
        <f>+Precios!T93*Precios!T$3</f>
        <v>0</v>
      </c>
      <c r="Y95" s="12">
        <f>+Precios!U93*Precios!U$3</f>
        <v>0</v>
      </c>
      <c r="Z95" s="12">
        <f>+Precios!V93*Precios!V$3</f>
        <v>0</v>
      </c>
      <c r="AA95" s="12">
        <f>+Precios!W93*Precios!W$3</f>
        <v>0</v>
      </c>
      <c r="AB95" s="12">
        <f>+Precios!X93*Precios!X$3</f>
        <v>0</v>
      </c>
      <c r="AC95" s="12">
        <f>+Precios!Y93*Precios!Y$3</f>
        <v>0</v>
      </c>
      <c r="AD95" s="12">
        <f>+Precios!Z93*Precios!Z$3</f>
        <v>0</v>
      </c>
      <c r="AE95" s="12">
        <f>+Precios!AA93*Precios!AA$3</f>
        <v>0</v>
      </c>
      <c r="AF95" s="12">
        <f>+Precios!AB93*Precios!AB$3</f>
        <v>0</v>
      </c>
      <c r="AG95" s="12">
        <f>+Precios!AC93*Precios!AC$3</f>
        <v>0</v>
      </c>
      <c r="AH95" s="12">
        <f>+Precios!AD93*Precios!AD$3</f>
        <v>0</v>
      </c>
      <c r="AI95" s="12">
        <f>+Precios!AE93*Precios!AE$3</f>
        <v>0</v>
      </c>
      <c r="AJ95" s="12">
        <f>+Precios!AF93*Precios!AF$3</f>
        <v>0</v>
      </c>
      <c r="AK95" s="12">
        <f>+Precios!AG93*Precios!AG$3</f>
        <v>0</v>
      </c>
      <c r="AL95" s="12">
        <f>+Precios!AH93*Precios!AH$3</f>
        <v>0</v>
      </c>
      <c r="AM95" s="12">
        <f>+Precios!AI93*Precios!AI$3</f>
        <v>0</v>
      </c>
      <c r="AN95" s="12">
        <f>+Precios!AJ93*Precios!AJ$3</f>
        <v>0</v>
      </c>
      <c r="AO95" s="12">
        <f>+Precios!AK93*Precios!AK$3</f>
        <v>0</v>
      </c>
      <c r="AP95" s="12">
        <f>+Precios!AL93*Precios!AL$3</f>
        <v>0</v>
      </c>
      <c r="AQ95" s="12">
        <f>+Precios!AM93*Precios!AM$3</f>
        <v>0</v>
      </c>
      <c r="AR95" s="12">
        <f>+Precios!AN93*Precios!AN$3</f>
        <v>0</v>
      </c>
      <c r="AS95" s="12">
        <f>+Precios!AO93*Precios!AO$3</f>
        <v>0</v>
      </c>
      <c r="AT95" s="12">
        <f>+Precios!AP93*Precios!AP$3</f>
        <v>0</v>
      </c>
      <c r="AU95" s="12">
        <f>+Precios!AQ93*Precios!AQ$3</f>
        <v>0</v>
      </c>
      <c r="AV95" s="12">
        <f>+Precios!AR93*Precios!AR$3</f>
        <v>0</v>
      </c>
      <c r="AW95" s="12">
        <f>+Precios!AS93*Precios!AS$3</f>
        <v>0</v>
      </c>
      <c r="AX95" s="12">
        <f>+Precios!AT93*Precios!AT$3</f>
        <v>0</v>
      </c>
      <c r="AY95" s="12">
        <f>+Precios!AU93*$AY$3</f>
        <v>51456.86</v>
      </c>
      <c r="AZ95" s="12">
        <f>+Precios!AV93*Precios!AV$3</f>
        <v>0</v>
      </c>
      <c r="BA95" s="12">
        <f>+Precios!AW93*Precios!AW$3</f>
        <v>0</v>
      </c>
      <c r="BB95" s="12">
        <f>+Precios!AX93*Precios!AX$3</f>
        <v>0</v>
      </c>
      <c r="BC95" s="12">
        <f>+Precios!AY93*Precios!AY$3</f>
        <v>0</v>
      </c>
      <c r="BD95" s="12">
        <f>+Precios!AZ93*Precios!AZ$3</f>
        <v>0</v>
      </c>
      <c r="BE95" s="12">
        <f>+Precios!BA93*Precios!BA$3</f>
        <v>0</v>
      </c>
      <c r="BF95" s="12">
        <f>+Precios!BB93*Precios!BB$3</f>
        <v>0</v>
      </c>
      <c r="BG95" s="12">
        <f>+Precios!BC93*Precios!BC$3</f>
        <v>0</v>
      </c>
      <c r="BH95" s="12">
        <f>+Precios!BD93*$BH$3</f>
        <v>59429.760000000002</v>
      </c>
      <c r="BI95" s="12">
        <f>+Precios!BE93*Precios!BE$3</f>
        <v>0</v>
      </c>
      <c r="BJ95" s="12">
        <f>+Precios!BF93*Precios!BF$3</f>
        <v>47520.3</v>
      </c>
      <c r="BK95" s="12">
        <f>+Precios!BG93*Precios!BG$3</f>
        <v>0</v>
      </c>
      <c r="BL95" s="12">
        <f>+Precios!BH93*Precios!BH$3</f>
        <v>0</v>
      </c>
      <c r="BM95" s="12">
        <f>+Precios!BI93*Precios!BI$3</f>
        <v>0</v>
      </c>
      <c r="BN95" s="12">
        <f>+Precios!BJ93*$BN$3</f>
        <v>0</v>
      </c>
      <c r="BO95" s="12">
        <f>+Precios!BK93*$BO$3</f>
        <v>0</v>
      </c>
      <c r="BP95" s="12">
        <f>+Precios!BL93*Precios!BL$3</f>
        <v>0</v>
      </c>
    </row>
    <row r="96" spans="1:68" ht="15" thickBot="1">
      <c r="A96" s="5">
        <f>+SUM(F96:XFD96)</f>
        <v>160015.24</v>
      </c>
      <c r="B96" s="26"/>
      <c r="C96" s="5">
        <f t="shared" si="1"/>
        <v>42629.44999999999</v>
      </c>
      <c r="D96" s="5">
        <f>1000000+C96-Cost!A96</f>
        <v>742665.99</v>
      </c>
      <c r="E96" s="15">
        <f>+Precios!A94</f>
        <v>46104</v>
      </c>
      <c r="F96" s="12">
        <f>+Precios!B94*Precios!B$3</f>
        <v>0</v>
      </c>
      <c r="G96" s="12">
        <f>+Precios!C94*Precios!C$3</f>
        <v>0</v>
      </c>
      <c r="H96" s="12">
        <f>+Precios!D94*Precios!D$3</f>
        <v>0</v>
      </c>
      <c r="I96" s="12">
        <f>+Precios!E94*Precios!E$3</f>
        <v>0</v>
      </c>
      <c r="J96" s="12">
        <f>+Precios!F94*Precios!F$3</f>
        <v>0</v>
      </c>
      <c r="K96" s="12">
        <f>+Precios!G94*Precios!G$3</f>
        <v>0</v>
      </c>
      <c r="L96" s="12">
        <f>+Precios!H94*Precios!H$3</f>
        <v>0</v>
      </c>
      <c r="M96" s="12">
        <f>+Precios!I94*Precios!I$3</f>
        <v>0</v>
      </c>
      <c r="N96" s="12">
        <f>+Precios!J94*Precios!J$3</f>
        <v>0</v>
      </c>
      <c r="O96" s="12">
        <f>+Precios!K94*Precios!K$3</f>
        <v>0</v>
      </c>
      <c r="P96" s="12">
        <f>+Precios!L94*Precios!L$3</f>
        <v>0</v>
      </c>
      <c r="Q96" s="12">
        <f>+Precios!M94*Precios!M$3</f>
        <v>0</v>
      </c>
      <c r="R96" s="12">
        <f>+Precios!N94*Precios!N$3</f>
        <v>0</v>
      </c>
      <c r="S96" s="12">
        <f>+Precios!O94*Precios!O$3</f>
        <v>0</v>
      </c>
      <c r="T96" s="12">
        <f>+Precios!P94*Precios!P$3</f>
        <v>0</v>
      </c>
      <c r="U96" s="12">
        <f>+Precios!Q94*Precios!Q$3</f>
        <v>0</v>
      </c>
      <c r="V96" s="12">
        <f>+Precios!R94*Precios!R$3</f>
        <v>0</v>
      </c>
      <c r="W96" s="12">
        <f>+Precios!S94*Precios!S$3</f>
        <v>0</v>
      </c>
      <c r="X96" s="12">
        <f>+Precios!T94*Precios!T$3</f>
        <v>0</v>
      </c>
      <c r="Y96" s="12">
        <f>+Precios!U94*Precios!U$3</f>
        <v>0</v>
      </c>
      <c r="Z96" s="12">
        <f>+Precios!V94*Precios!V$3</f>
        <v>0</v>
      </c>
      <c r="AA96" s="12">
        <f>+Precios!W94*Precios!W$3</f>
        <v>0</v>
      </c>
      <c r="AB96" s="12">
        <f>+Precios!X94*Precios!X$3</f>
        <v>0</v>
      </c>
      <c r="AC96" s="12">
        <f>+Precios!Y94*Precios!Y$3</f>
        <v>0</v>
      </c>
      <c r="AD96" s="12">
        <f>+Precios!Z94*Precios!Z$3</f>
        <v>0</v>
      </c>
      <c r="AE96" s="12">
        <f>+Precios!AA94*Precios!AA$3</f>
        <v>0</v>
      </c>
      <c r="AF96" s="12">
        <f>+Precios!AB94*Precios!AB$3</f>
        <v>0</v>
      </c>
      <c r="AG96" s="12">
        <f>+Precios!AC94*Precios!AC$3</f>
        <v>0</v>
      </c>
      <c r="AH96" s="12">
        <f>+Precios!AD94*Precios!AD$3</f>
        <v>0</v>
      </c>
      <c r="AI96" s="12">
        <f>+Precios!AE94*Precios!AE$3</f>
        <v>0</v>
      </c>
      <c r="AJ96" s="12">
        <f>+Precios!AF94*Precios!AF$3</f>
        <v>0</v>
      </c>
      <c r="AK96" s="12">
        <f>+Precios!AG94*Precios!AG$3</f>
        <v>0</v>
      </c>
      <c r="AL96" s="12">
        <f>+Precios!AH94*Precios!AH$3</f>
        <v>0</v>
      </c>
      <c r="AM96" s="12">
        <f>+Precios!AI94*Precios!AI$3</f>
        <v>0</v>
      </c>
      <c r="AN96" s="12">
        <f>+Precios!AJ94*Precios!AJ$3</f>
        <v>0</v>
      </c>
      <c r="AO96" s="12">
        <f>+Precios!AK94*Precios!AK$3</f>
        <v>0</v>
      </c>
      <c r="AP96" s="12">
        <f>+Precios!AL94*Precios!AL$3</f>
        <v>0</v>
      </c>
      <c r="AQ96" s="12">
        <f>+Precios!AM94*Precios!AM$3</f>
        <v>0</v>
      </c>
      <c r="AR96" s="12">
        <f>+Precios!AN94*Precios!AN$3</f>
        <v>0</v>
      </c>
      <c r="AS96" s="12">
        <f>+Precios!AO94*Precios!AO$3</f>
        <v>0</v>
      </c>
      <c r="AT96" s="12">
        <f>+Precios!AP94*Precios!AP$3</f>
        <v>0</v>
      </c>
      <c r="AU96" s="12">
        <f>+Precios!AQ94*Precios!AQ$3</f>
        <v>0</v>
      </c>
      <c r="AV96" s="12">
        <f>+Precios!AR94*Precios!AR$3</f>
        <v>0</v>
      </c>
      <c r="AW96" s="12">
        <f>+Precios!AS94*Precios!AS$3</f>
        <v>0</v>
      </c>
      <c r="AX96" s="12">
        <f>+Precios!AT94*Precios!AT$3</f>
        <v>0</v>
      </c>
      <c r="AY96" s="12">
        <f>+Precios!AU94*$AY$3</f>
        <v>51860.76</v>
      </c>
      <c r="AZ96" s="12">
        <f>+Precios!AV94*Precios!AV$3</f>
        <v>0</v>
      </c>
      <c r="BA96" s="12">
        <f>+Precios!AW94*Precios!AW$3</f>
        <v>0</v>
      </c>
      <c r="BB96" s="12">
        <f>+Precios!AX94*Precios!AX$3</f>
        <v>0</v>
      </c>
      <c r="BC96" s="12">
        <f>+Precios!AY94*Precios!AY$3</f>
        <v>0</v>
      </c>
      <c r="BD96" s="12">
        <f>+Precios!AZ94*Precios!AZ$3</f>
        <v>0</v>
      </c>
      <c r="BE96" s="12">
        <f>+Precios!BA94*Precios!BA$3</f>
        <v>0</v>
      </c>
      <c r="BF96" s="12">
        <f>+Precios!BB94*Precios!BB$3</f>
        <v>0</v>
      </c>
      <c r="BG96" s="12">
        <f>+Precios!BC94*Precios!BC$3</f>
        <v>0</v>
      </c>
      <c r="BH96" s="12">
        <f>+Precios!BD94*$BH$3</f>
        <v>59001.18</v>
      </c>
      <c r="BI96" s="12">
        <f>+Precios!BE94*Precios!BE$3</f>
        <v>0</v>
      </c>
      <c r="BJ96" s="12">
        <f>+Precios!BF94*Precios!BF$3</f>
        <v>49153.3</v>
      </c>
      <c r="BK96" s="12">
        <f>+Precios!BG94*Precios!BG$3</f>
        <v>0</v>
      </c>
      <c r="BL96" s="12">
        <f>+Precios!BH94*Precios!BH$3</f>
        <v>0</v>
      </c>
      <c r="BM96" s="12">
        <f>+Precios!BI94*Precios!BI$3</f>
        <v>0</v>
      </c>
      <c r="BN96" s="12">
        <f>+Precios!BJ94*$BN$3</f>
        <v>0</v>
      </c>
      <c r="BO96" s="12">
        <f>+Precios!BK94*$BO$3</f>
        <v>0</v>
      </c>
      <c r="BP96" s="12">
        <f>+Precios!BL94*Precios!BL$3</f>
        <v>0</v>
      </c>
    </row>
    <row r="97" spans="1:77" ht="15" thickBot="1">
      <c r="A97" s="5">
        <f>+SUM(F97:XFD97)</f>
        <v>163809.32999999999</v>
      </c>
      <c r="B97" s="26">
        <f>+TRACK!M57</f>
        <v>-1782.9599999999994</v>
      </c>
      <c r="C97" s="5">
        <f t="shared" si="1"/>
        <v>40846.489999999991</v>
      </c>
      <c r="D97" s="5">
        <f>1000000+C97-Cost!A97</f>
        <v>740883.03</v>
      </c>
      <c r="E97" s="15">
        <f>+Precios!A95</f>
        <v>46105</v>
      </c>
      <c r="F97" s="12">
        <f>+Precios!B95*Precios!B$3</f>
        <v>0</v>
      </c>
      <c r="G97" s="12">
        <f>+Precios!C95*Precios!C$3</f>
        <v>0</v>
      </c>
      <c r="H97" s="12">
        <f>+Precios!D95*Precios!D$3</f>
        <v>0</v>
      </c>
      <c r="I97" s="12">
        <f>+Precios!E95*Precios!E$3</f>
        <v>0</v>
      </c>
      <c r="J97" s="12">
        <f>+Precios!F95*Precios!F$3</f>
        <v>0</v>
      </c>
      <c r="K97" s="12">
        <f>+Precios!G95*Precios!G$3</f>
        <v>0</v>
      </c>
      <c r="L97" s="12">
        <f>+Precios!H95*Precios!H$3</f>
        <v>0</v>
      </c>
      <c r="M97" s="12">
        <f>+Precios!I95*Precios!I$3</f>
        <v>0</v>
      </c>
      <c r="N97" s="12">
        <f>+Precios!J95*Precios!J$3</f>
        <v>0</v>
      </c>
      <c r="O97" s="12">
        <f>+Precios!K95*Precios!K$3</f>
        <v>0</v>
      </c>
      <c r="P97" s="12">
        <f>+Precios!L95*Precios!L$3</f>
        <v>0</v>
      </c>
      <c r="Q97" s="12">
        <f>+Precios!M95*Precios!M$3</f>
        <v>0</v>
      </c>
      <c r="R97" s="12">
        <f>+Precios!N95*Precios!N$3</f>
        <v>0</v>
      </c>
      <c r="S97" s="12">
        <f>+Precios!O95*Precios!O$3</f>
        <v>0</v>
      </c>
      <c r="T97" s="12">
        <f>+Precios!P95*Precios!P$3</f>
        <v>0</v>
      </c>
      <c r="U97" s="12">
        <f>+Precios!Q95*Precios!Q$3</f>
        <v>0</v>
      </c>
      <c r="V97" s="12">
        <f>+Precios!R95*Precios!R$3</f>
        <v>0</v>
      </c>
      <c r="W97" s="12">
        <f>+Precios!S95*Precios!S$3</f>
        <v>0</v>
      </c>
      <c r="X97" s="12">
        <f>+Precios!T95*Precios!T$3</f>
        <v>0</v>
      </c>
      <c r="Y97" s="12">
        <f>+Precios!U95*Precios!U$3</f>
        <v>0</v>
      </c>
      <c r="Z97" s="12">
        <f>+Precios!V95*Precios!V$3</f>
        <v>0</v>
      </c>
      <c r="AA97" s="12">
        <f>+Precios!W95*Precios!W$3</f>
        <v>0</v>
      </c>
      <c r="AB97" s="12">
        <f>+Precios!X95*Precios!X$3</f>
        <v>0</v>
      </c>
      <c r="AC97" s="12">
        <f>+Precios!Y95*Precios!Y$3</f>
        <v>0</v>
      </c>
      <c r="AD97" s="12">
        <f>+Precios!Z95*Precios!Z$3</f>
        <v>0</v>
      </c>
      <c r="AE97" s="12">
        <f>+Precios!AA95*Precios!AA$3</f>
        <v>0</v>
      </c>
      <c r="AF97" s="12">
        <f>+Precios!AB95*Precios!AB$3</f>
        <v>0</v>
      </c>
      <c r="AG97" s="12">
        <f>+Precios!AC95*Precios!AC$3</f>
        <v>0</v>
      </c>
      <c r="AH97" s="12">
        <f>+Precios!AD95*Precios!AD$3</f>
        <v>0</v>
      </c>
      <c r="AI97" s="12">
        <f>+Precios!AE95*Precios!AE$3</f>
        <v>0</v>
      </c>
      <c r="AJ97" s="12">
        <f>+Precios!AF95*Precios!AF$3</f>
        <v>0</v>
      </c>
      <c r="AK97" s="12">
        <f>+Precios!AG95*Precios!AG$3</f>
        <v>0</v>
      </c>
      <c r="AL97" s="12">
        <f>+Precios!AH95*Precios!AH$3</f>
        <v>0</v>
      </c>
      <c r="AM97" s="12">
        <f>+Precios!AI95*Precios!AI$3</f>
        <v>0</v>
      </c>
      <c r="AN97" s="12">
        <f>+Precios!AJ95*Precios!AJ$3</f>
        <v>0</v>
      </c>
      <c r="AO97" s="12">
        <f>+Precios!AK95*Precios!AK$3</f>
        <v>0</v>
      </c>
      <c r="AP97" s="12">
        <f>+Precios!AL95*Precios!AL$3</f>
        <v>0</v>
      </c>
      <c r="AQ97" s="12">
        <f>+Precios!AM95*Precios!AM$3</f>
        <v>0</v>
      </c>
      <c r="AR97" s="12">
        <f>+Precios!AN95*Precios!AN$3</f>
        <v>0</v>
      </c>
      <c r="AS97" s="12">
        <f>+Precios!AO95*Precios!AO$3</f>
        <v>0</v>
      </c>
      <c r="AT97" s="12">
        <f>+Precios!AP95*Precios!AP$3</f>
        <v>0</v>
      </c>
      <c r="AU97" s="12">
        <f>+Precios!AQ95*Precios!AQ$3</f>
        <v>0</v>
      </c>
      <c r="AV97" s="12">
        <f>+Precios!AR95*Precios!AR$3</f>
        <v>0</v>
      </c>
      <c r="AW97" s="12">
        <f>+Precios!AS95*Precios!AS$3</f>
        <v>0</v>
      </c>
      <c r="AX97" s="12">
        <f>+Precios!AT95*Precios!AT$3</f>
        <v>0</v>
      </c>
      <c r="AY97" s="12">
        <f>+Precios!AU95*$AY$3</f>
        <v>55091.96</v>
      </c>
      <c r="AZ97" s="12">
        <f>+Precios!AV95*Precios!AV$3</f>
        <v>0</v>
      </c>
      <c r="BA97" s="12">
        <f>+Precios!AW95*Precios!AW$3</f>
        <v>0</v>
      </c>
      <c r="BB97" s="12">
        <f>+Precios!AX95*Precios!AX$3</f>
        <v>0</v>
      </c>
      <c r="BC97" s="12">
        <f>+Precios!AY95*Precios!AY$3</f>
        <v>0</v>
      </c>
      <c r="BD97" s="12">
        <f>+Precios!AZ95*Precios!AZ$3</f>
        <v>0</v>
      </c>
      <c r="BE97" s="12">
        <f>+Precios!BA95*Precios!BA$3</f>
        <v>0</v>
      </c>
      <c r="BF97" s="12">
        <f>+Precios!BB95*Precios!BB$3</f>
        <v>0</v>
      </c>
      <c r="BG97" s="12">
        <f>+Precios!BC95*Precios!BC$3</f>
        <v>0</v>
      </c>
      <c r="BH97" s="12">
        <f>+Precios!BD95*$BH$3</f>
        <v>61572.659999999996</v>
      </c>
      <c r="BI97" s="12">
        <f>+Precios!BE95*Precios!BE$3</f>
        <v>0</v>
      </c>
      <c r="BJ97" s="12">
        <f>+Precios!BF95*Precios!BF$3</f>
        <v>47144.71</v>
      </c>
      <c r="BK97" s="12">
        <f>+Precios!BG95*Precios!BG$3</f>
        <v>0</v>
      </c>
      <c r="BL97" s="12">
        <f>+Precios!BH95*Precios!BH$3</f>
        <v>0</v>
      </c>
      <c r="BM97" s="12">
        <f>+Precios!BI95*Precios!BI$3</f>
        <v>0</v>
      </c>
      <c r="BN97" s="12">
        <f>+Precios!BJ95*$BN$3</f>
        <v>0</v>
      </c>
      <c r="BO97" s="12">
        <f>+Precios!BK95*$BO$3</f>
        <v>0</v>
      </c>
      <c r="BP97" s="12">
        <f>+Precios!BL95*Precios!BL$3</f>
        <v>0</v>
      </c>
    </row>
    <row r="98" spans="1:77" ht="15" thickBot="1">
      <c r="A98" s="5">
        <f>+SUM(F98:XFD98)</f>
        <v>168187.72</v>
      </c>
      <c r="B98" s="26"/>
      <c r="C98" s="5">
        <f t="shared" si="1"/>
        <v>40846.489999999991</v>
      </c>
      <c r="D98" s="5">
        <f>1000000+C98-Cost!A98</f>
        <v>790883.03</v>
      </c>
      <c r="E98" s="15">
        <f>+Precios!A96</f>
        <v>46106</v>
      </c>
      <c r="F98" s="12">
        <f>+Precios!B96*Precios!B$3</f>
        <v>0</v>
      </c>
      <c r="G98" s="12">
        <f>+Precios!C96*Precios!C$3</f>
        <v>0</v>
      </c>
      <c r="H98" s="12">
        <f>+Precios!D96*Precios!D$3</f>
        <v>0</v>
      </c>
      <c r="I98" s="12">
        <f>+Precios!E96*Precios!E$3</f>
        <v>0</v>
      </c>
      <c r="J98" s="12">
        <f>+Precios!F96*Precios!F$3</f>
        <v>0</v>
      </c>
      <c r="K98" s="12">
        <f>+Precios!G96*Precios!G$3</f>
        <v>0</v>
      </c>
      <c r="L98" s="12">
        <f>+Precios!H96*Precios!H$3</f>
        <v>0</v>
      </c>
      <c r="M98" s="12">
        <f>+Precios!I96*Precios!I$3</f>
        <v>0</v>
      </c>
      <c r="N98" s="12">
        <f>+Precios!J96*Precios!J$3</f>
        <v>0</v>
      </c>
      <c r="O98" s="12">
        <f>+Precios!K96*Precios!K$3</f>
        <v>0</v>
      </c>
      <c r="P98" s="12">
        <f>+Precios!L96*Precios!L$3</f>
        <v>0</v>
      </c>
      <c r="Q98" s="12">
        <f>+Precios!M96*Precios!M$3</f>
        <v>0</v>
      </c>
      <c r="R98" s="12">
        <f>+Precios!N96*Precios!N$3</f>
        <v>0</v>
      </c>
      <c r="S98" s="12">
        <f>+Precios!O96*Precios!O$3</f>
        <v>0</v>
      </c>
      <c r="T98" s="12">
        <f>+Precios!P96*Precios!P$3</f>
        <v>0</v>
      </c>
      <c r="U98" s="12">
        <f>+Precios!Q96*Precios!Q$3</f>
        <v>0</v>
      </c>
      <c r="V98" s="12">
        <f>+Precios!R96*Precios!R$3</f>
        <v>0</v>
      </c>
      <c r="W98" s="12">
        <f>+Precios!S96*Precios!S$3</f>
        <v>0</v>
      </c>
      <c r="X98" s="12">
        <f>+Precios!T96*Precios!T$3</f>
        <v>0</v>
      </c>
      <c r="Y98" s="12">
        <f>+Precios!U96*Precios!U$3</f>
        <v>0</v>
      </c>
      <c r="Z98" s="12">
        <f>+Precios!V96*Precios!V$3</f>
        <v>0</v>
      </c>
      <c r="AA98" s="12">
        <f>+Precios!W96*Precios!W$3</f>
        <v>0</v>
      </c>
      <c r="AB98" s="12">
        <f>+Precios!X96*Precios!X$3</f>
        <v>0</v>
      </c>
      <c r="AC98" s="12">
        <f>+Precios!Y96*Precios!Y$3</f>
        <v>0</v>
      </c>
      <c r="AD98" s="12">
        <f>+Precios!Z96*Precios!Z$3</f>
        <v>0</v>
      </c>
      <c r="AE98" s="12">
        <f>+Precios!AA96*Precios!AA$3</f>
        <v>0</v>
      </c>
      <c r="AF98" s="12">
        <f>+Precios!AB96*Precios!AB$3</f>
        <v>0</v>
      </c>
      <c r="AG98" s="12">
        <f>+Precios!AC96*Precios!AC$3</f>
        <v>0</v>
      </c>
      <c r="AH98" s="12">
        <f>+Precios!AD96*Precios!AD$3</f>
        <v>0</v>
      </c>
      <c r="AI98" s="12">
        <f>+Precios!AE96*Precios!AE$3</f>
        <v>0</v>
      </c>
      <c r="AJ98" s="12">
        <f>+Precios!AF96*Precios!AF$3</f>
        <v>0</v>
      </c>
      <c r="AK98" s="12">
        <f>+Precios!AG96*Precios!AG$3</f>
        <v>0</v>
      </c>
      <c r="AL98" s="12">
        <f>+Precios!AH96*Precios!AH$3</f>
        <v>0</v>
      </c>
      <c r="AM98" s="12">
        <f>+Precios!AI96*Precios!AI$3</f>
        <v>0</v>
      </c>
      <c r="AN98" s="12">
        <f>+Precios!AJ96*Precios!AJ$3</f>
        <v>0</v>
      </c>
      <c r="AO98" s="12">
        <f>+Precios!AK96*Precios!AK$3</f>
        <v>0</v>
      </c>
      <c r="AP98" s="12">
        <f>+Precios!AL96*Precios!AL$3</f>
        <v>0</v>
      </c>
      <c r="AQ98" s="12">
        <f>+Precios!AM96*Precios!AM$3</f>
        <v>0</v>
      </c>
      <c r="AR98" s="12">
        <f>+Precios!AN96*Precios!AN$3</f>
        <v>0</v>
      </c>
      <c r="AS98" s="12">
        <f>+Precios!AO96*Precios!AO$3</f>
        <v>0</v>
      </c>
      <c r="AT98" s="12">
        <f>+Precios!AP96*Precios!AP$3</f>
        <v>0</v>
      </c>
      <c r="AU98" s="12">
        <f>+Precios!AQ96*Precios!AQ$3</f>
        <v>0</v>
      </c>
      <c r="AV98" s="12">
        <f>+Precios!AR96*Precios!AR$3</f>
        <v>0</v>
      </c>
      <c r="AW98" s="12">
        <f>+Precios!AS96*Precios!AS$3</f>
        <v>0</v>
      </c>
      <c r="AX98" s="12">
        <f>+Precios!AT96*Precios!AT$3</f>
        <v>0</v>
      </c>
      <c r="AY98" s="12">
        <f>+Precios!AU96*$AY$3</f>
        <v>56788.340000000004</v>
      </c>
      <c r="AZ98" s="12">
        <f>+Precios!AV96*Precios!AV$3</f>
        <v>0</v>
      </c>
      <c r="BA98" s="12">
        <f>+Precios!AW96*Precios!AW$3</f>
        <v>0</v>
      </c>
      <c r="BB98" s="12">
        <f>+Precios!AX96*Precios!AX$3</f>
        <v>0</v>
      </c>
      <c r="BC98" s="12">
        <f>+Precios!AY96*Precios!AY$3</f>
        <v>0</v>
      </c>
      <c r="BD98" s="12">
        <f>+Precios!AZ96*Precios!AZ$3</f>
        <v>0</v>
      </c>
      <c r="BE98" s="12">
        <f>+Precios!BA96*Precios!BA$3</f>
        <v>0</v>
      </c>
      <c r="BF98" s="12">
        <f>+Precios!BB96*Precios!BB$3</f>
        <v>0</v>
      </c>
      <c r="BG98" s="12">
        <f>+Precios!BC96*Precios!BC$3</f>
        <v>0</v>
      </c>
      <c r="BH98" s="12">
        <f>+Precios!BD96*$BH$3</f>
        <v>62572.68</v>
      </c>
      <c r="BI98" s="12">
        <f>+Precios!BE96*Precios!BE$3</f>
        <v>0</v>
      </c>
      <c r="BJ98" s="12">
        <f>+Precios!BF96*Precios!BF$3</f>
        <v>48826.7</v>
      </c>
      <c r="BK98" s="12">
        <f>+Precios!BG96*Precios!BG$3</f>
        <v>0</v>
      </c>
      <c r="BL98" s="12">
        <f>+Precios!BH96*Precios!BH$3</f>
        <v>0</v>
      </c>
      <c r="BM98" s="12">
        <f>+Precios!BI96*Precios!BI$3</f>
        <v>0</v>
      </c>
      <c r="BN98" s="12">
        <f>+Precios!BJ96*$BN$3</f>
        <v>0</v>
      </c>
      <c r="BO98" s="12">
        <f>+Precios!BK96*$BO$3</f>
        <v>0</v>
      </c>
      <c r="BP98" s="12">
        <f>+Precios!BL96*Precios!BL$3</f>
        <v>0</v>
      </c>
    </row>
    <row r="99" spans="1:77" ht="15" thickBot="1">
      <c r="A99" s="5">
        <f>+SUM(F99:XFD99)</f>
        <v>167408.46</v>
      </c>
      <c r="B99" s="26"/>
      <c r="C99" s="5">
        <f t="shared" si="1"/>
        <v>40846.489999999991</v>
      </c>
      <c r="D99" s="5">
        <f>1000000+C99-Cost!A99</f>
        <v>790883.03</v>
      </c>
      <c r="E99" s="15">
        <f>+Precios!A97</f>
        <v>46107</v>
      </c>
      <c r="F99" s="12">
        <f>+Precios!B97*Precios!B$3</f>
        <v>0</v>
      </c>
      <c r="G99" s="12">
        <f>+Precios!C97*Precios!C$3</f>
        <v>0</v>
      </c>
      <c r="H99" s="12">
        <f>+Precios!D97*Precios!D$3</f>
        <v>0</v>
      </c>
      <c r="I99" s="12">
        <f>+Precios!E97*Precios!E$3</f>
        <v>0</v>
      </c>
      <c r="J99" s="12">
        <f>+Precios!F97*Precios!F$3</f>
        <v>0</v>
      </c>
      <c r="K99" s="12">
        <f>+Precios!G97*Precios!G$3</f>
        <v>0</v>
      </c>
      <c r="L99" s="12">
        <f>+Precios!H97*Precios!H$3</f>
        <v>0</v>
      </c>
      <c r="M99" s="12">
        <f>+Precios!I97*Precios!I$3</f>
        <v>0</v>
      </c>
      <c r="N99" s="12">
        <f>+Precios!J97*Precios!J$3</f>
        <v>0</v>
      </c>
      <c r="O99" s="12">
        <f>+Precios!K97*Precios!K$3</f>
        <v>0</v>
      </c>
      <c r="P99" s="12">
        <f>+Precios!L97*Precios!L$3</f>
        <v>0</v>
      </c>
      <c r="Q99" s="12">
        <f>+Precios!M97*Precios!M$3</f>
        <v>0</v>
      </c>
      <c r="R99" s="12">
        <f>+Precios!N97*Precios!N$3</f>
        <v>0</v>
      </c>
      <c r="S99" s="12">
        <f>+Precios!O97*Precios!O$3</f>
        <v>0</v>
      </c>
      <c r="T99" s="12">
        <f>+Precios!P97*Precios!P$3</f>
        <v>0</v>
      </c>
      <c r="U99" s="12">
        <f>+Precios!Q97*Precios!Q$3</f>
        <v>0</v>
      </c>
      <c r="V99" s="12">
        <f>+Precios!R97*Precios!R$3</f>
        <v>0</v>
      </c>
      <c r="W99" s="12">
        <f>+Precios!S97*Precios!S$3</f>
        <v>0</v>
      </c>
      <c r="X99" s="12">
        <f>+Precios!T97*Precios!T$3</f>
        <v>0</v>
      </c>
      <c r="Y99" s="12">
        <f>+Precios!U97*Precios!U$3</f>
        <v>0</v>
      </c>
      <c r="Z99" s="12">
        <f>+Precios!V97*Precios!V$3</f>
        <v>0</v>
      </c>
      <c r="AA99" s="12">
        <f>+Precios!W97*Precios!W$3</f>
        <v>0</v>
      </c>
      <c r="AB99" s="12">
        <f>+Precios!X97*Precios!X$3</f>
        <v>0</v>
      </c>
      <c r="AC99" s="12">
        <f>+Precios!Y97*Precios!Y$3</f>
        <v>0</v>
      </c>
      <c r="AD99" s="12">
        <f>+Precios!Z97*Precios!Z$3</f>
        <v>0</v>
      </c>
      <c r="AE99" s="12">
        <f>+Precios!AA97*Precios!AA$3</f>
        <v>0</v>
      </c>
      <c r="AF99" s="12">
        <f>+Precios!AB97*Precios!AB$3</f>
        <v>0</v>
      </c>
      <c r="AG99" s="12">
        <f>+Precios!AC97*Precios!AC$3</f>
        <v>0</v>
      </c>
      <c r="AH99" s="12">
        <f>+Precios!AD97*Precios!AD$3</f>
        <v>0</v>
      </c>
      <c r="AI99" s="12">
        <f>+Precios!AE97*Precios!AE$3</f>
        <v>0</v>
      </c>
      <c r="AJ99" s="12">
        <f>+Precios!AF97*Precios!AF$3</f>
        <v>0</v>
      </c>
      <c r="AK99" s="12">
        <f>+Precios!AG97*Precios!AG$3</f>
        <v>0</v>
      </c>
      <c r="AL99" s="12">
        <f>+Precios!AH97*Precios!AH$3</f>
        <v>0</v>
      </c>
      <c r="AM99" s="12">
        <f>+Precios!AI97*Precios!AI$3</f>
        <v>0</v>
      </c>
      <c r="AN99" s="12">
        <f>+Precios!AJ97*Precios!AJ$3</f>
        <v>0</v>
      </c>
      <c r="AO99" s="12">
        <f>+Precios!AK97*Precios!AK$3</f>
        <v>0</v>
      </c>
      <c r="AP99" s="12">
        <f>+Precios!AL97*Precios!AL$3</f>
        <v>0</v>
      </c>
      <c r="AQ99" s="12">
        <f>+Precios!AM97*Precios!AM$3</f>
        <v>0</v>
      </c>
      <c r="AR99" s="12">
        <f>+Precios!AN97*Precios!AN$3</f>
        <v>0</v>
      </c>
      <c r="AS99" s="12">
        <f>+Precios!AO97*Precios!AO$3</f>
        <v>0</v>
      </c>
      <c r="AT99" s="12">
        <f>+Precios!AP97*Precios!AP$3</f>
        <v>0</v>
      </c>
      <c r="AU99" s="12">
        <f>+Precios!AQ97*Precios!AQ$3</f>
        <v>0</v>
      </c>
      <c r="AV99" s="12">
        <f>+Precios!AR97*Precios!AR$3</f>
        <v>0</v>
      </c>
      <c r="AW99" s="12">
        <f>+Precios!AS97*Precios!AS$3</f>
        <v>0</v>
      </c>
      <c r="AX99" s="12">
        <f>+Precios!AT97*Precios!AT$3</f>
        <v>0</v>
      </c>
      <c r="AY99" s="12">
        <f>+Precios!AU97*$AY$3</f>
        <v>55213.13</v>
      </c>
      <c r="AZ99" s="12">
        <f>+Precios!AV97*Precios!AV$3</f>
        <v>0</v>
      </c>
      <c r="BA99" s="12">
        <f>+Precios!AW97*Precios!AW$3</f>
        <v>0</v>
      </c>
      <c r="BB99" s="12">
        <f>+Precios!AX97*Precios!AX$3</f>
        <v>0</v>
      </c>
      <c r="BC99" s="12">
        <f>+Precios!AY97*Precios!AY$3</f>
        <v>0</v>
      </c>
      <c r="BD99" s="12">
        <f>+Precios!AZ97*Precios!AZ$3</f>
        <v>0</v>
      </c>
      <c r="BE99" s="12">
        <f>+Precios!BA97*Precios!BA$3</f>
        <v>0</v>
      </c>
      <c r="BF99" s="12">
        <f>+Precios!BB97*Precios!BB$3</f>
        <v>0</v>
      </c>
      <c r="BG99" s="12">
        <f>+Precios!BC97*Precios!BC$3</f>
        <v>0</v>
      </c>
      <c r="BH99" s="12">
        <f>+Precios!BD97*$BH$3</f>
        <v>63286.979999999996</v>
      </c>
      <c r="BI99" s="12">
        <f>+Precios!BE97*Precios!BE$3</f>
        <v>0</v>
      </c>
      <c r="BJ99" s="12">
        <f>+Precios!BF97*Precios!BF$3</f>
        <v>48908.35</v>
      </c>
      <c r="BK99" s="12">
        <f>+Precios!BG97*Precios!BG$3</f>
        <v>0</v>
      </c>
      <c r="BL99" s="12">
        <f>+Precios!BH97*Precios!BH$3</f>
        <v>0</v>
      </c>
      <c r="BM99" s="12">
        <f>+Precios!BI97*Precios!BI$3</f>
        <v>0</v>
      </c>
      <c r="BN99" s="12">
        <f>+Precios!BJ97*$BN$3</f>
        <v>0</v>
      </c>
      <c r="BO99" s="12">
        <f>+Precios!BK97*$BO$3</f>
        <v>0</v>
      </c>
      <c r="BP99" s="12">
        <f>+Precios!BL97*Precios!BL$3</f>
        <v>0</v>
      </c>
    </row>
    <row r="100" spans="1:77" ht="15" thickBot="1">
      <c r="A100" s="5">
        <f>+SUM(F100:XFD100)</f>
        <v>163524.71000000002</v>
      </c>
      <c r="B100" s="26"/>
      <c r="C100" s="5">
        <f t="shared" si="1"/>
        <v>40846.489999999991</v>
      </c>
      <c r="D100" s="5">
        <f>1000000+C100-Cost!A100</f>
        <v>790883.03</v>
      </c>
      <c r="E100" s="15">
        <f>+Precios!A98</f>
        <v>46108</v>
      </c>
      <c r="F100" s="12">
        <f>+Precios!B98*Precios!B$3</f>
        <v>0</v>
      </c>
      <c r="G100" s="12">
        <f>+Precios!C98*Precios!C$3</f>
        <v>0</v>
      </c>
      <c r="H100" s="12">
        <f>+Precios!D98*Precios!D$3</f>
        <v>0</v>
      </c>
      <c r="I100" s="12">
        <f>+Precios!E98*Precios!E$3</f>
        <v>0</v>
      </c>
      <c r="J100" s="12">
        <f>+Precios!F98*Precios!F$3</f>
        <v>0</v>
      </c>
      <c r="K100" s="12">
        <f>+Precios!G98*Precios!G$3</f>
        <v>0</v>
      </c>
      <c r="L100" s="12">
        <f>+Precios!H98*Precios!H$3</f>
        <v>0</v>
      </c>
      <c r="M100" s="12">
        <f>+Precios!I98*Precios!I$3</f>
        <v>0</v>
      </c>
      <c r="N100" s="12">
        <f>+Precios!J98*Precios!J$3</f>
        <v>0</v>
      </c>
      <c r="O100" s="12">
        <f>+Precios!K98*Precios!K$3</f>
        <v>0</v>
      </c>
      <c r="P100" s="12">
        <f>+Precios!L98*Precios!L$3</f>
        <v>0</v>
      </c>
      <c r="Q100" s="12">
        <f>+Precios!M98*Precios!M$3</f>
        <v>0</v>
      </c>
      <c r="R100" s="12">
        <f>+Precios!N98*Precios!N$3</f>
        <v>0</v>
      </c>
      <c r="S100" s="12">
        <f>+Precios!O98*Precios!O$3</f>
        <v>0</v>
      </c>
      <c r="T100" s="12">
        <f>+Precios!P98*Precios!P$3</f>
        <v>0</v>
      </c>
      <c r="U100" s="12">
        <f>+Precios!Q98*Precios!Q$3</f>
        <v>0</v>
      </c>
      <c r="V100" s="12">
        <f>+Precios!R98*Precios!R$3</f>
        <v>0</v>
      </c>
      <c r="W100" s="12">
        <f>+Precios!S98*Precios!S$3</f>
        <v>0</v>
      </c>
      <c r="X100" s="12">
        <f>+Precios!T98*Precios!T$3</f>
        <v>0</v>
      </c>
      <c r="Y100" s="12">
        <f>+Precios!U98*Precios!U$3</f>
        <v>0</v>
      </c>
      <c r="Z100" s="12">
        <f>+Precios!V98*Precios!V$3</f>
        <v>0</v>
      </c>
      <c r="AA100" s="12">
        <f>+Precios!W98*Precios!W$3</f>
        <v>0</v>
      </c>
      <c r="AB100" s="12">
        <f>+Precios!X98*Precios!X$3</f>
        <v>0</v>
      </c>
      <c r="AC100" s="12">
        <f>+Precios!Y98*Precios!Y$3</f>
        <v>0</v>
      </c>
      <c r="AD100" s="12">
        <f>+Precios!Z98*Precios!Z$3</f>
        <v>0</v>
      </c>
      <c r="AE100" s="12">
        <f>+Precios!AA98*Precios!AA$3</f>
        <v>0</v>
      </c>
      <c r="AF100" s="12">
        <f>+Precios!AB98*Precios!AB$3</f>
        <v>0</v>
      </c>
      <c r="AG100" s="12">
        <f>+Precios!AC98*Precios!AC$3</f>
        <v>0</v>
      </c>
      <c r="AH100" s="12">
        <f>+Precios!AD98*Precios!AD$3</f>
        <v>0</v>
      </c>
      <c r="AI100" s="12">
        <f>+Precios!AE98*Precios!AE$3</f>
        <v>0</v>
      </c>
      <c r="AJ100" s="12">
        <f>+Precios!AF98*Precios!AF$3</f>
        <v>0</v>
      </c>
      <c r="AK100" s="12">
        <f>+Precios!AG98*Precios!AG$3</f>
        <v>0</v>
      </c>
      <c r="AL100" s="12">
        <f>+Precios!AH98*Precios!AH$3</f>
        <v>0</v>
      </c>
      <c r="AM100" s="12">
        <f>+Precios!AI98*Precios!AI$3</f>
        <v>0</v>
      </c>
      <c r="AN100" s="12">
        <f>+Precios!AJ98*Precios!AJ$3</f>
        <v>0</v>
      </c>
      <c r="AO100" s="12">
        <f>+Precios!AK98*Precios!AK$3</f>
        <v>0</v>
      </c>
      <c r="AP100" s="12">
        <f>+Precios!AL98*Precios!AL$3</f>
        <v>0</v>
      </c>
      <c r="AQ100" s="12">
        <f>+Precios!AM98*Precios!AM$3</f>
        <v>0</v>
      </c>
      <c r="AR100" s="12">
        <f>+Precios!AN98*Precios!AN$3</f>
        <v>0</v>
      </c>
      <c r="AS100" s="12">
        <f>+Precios!AO98*Precios!AO$3</f>
        <v>0</v>
      </c>
      <c r="AT100" s="12">
        <f>+Precios!AP98*Precios!AP$3</f>
        <v>0</v>
      </c>
      <c r="AU100" s="12">
        <f>+Precios!AQ98*Precios!AQ$3</f>
        <v>0</v>
      </c>
      <c r="AV100" s="12">
        <f>+Precios!AR98*Precios!AR$3</f>
        <v>0</v>
      </c>
      <c r="AW100" s="12">
        <f>+Precios!AS98*Precios!AS$3</f>
        <v>0</v>
      </c>
      <c r="AX100" s="12">
        <f>+Precios!AT98*Precios!AT$3</f>
        <v>0</v>
      </c>
      <c r="AY100" s="12">
        <f>+Precios!AU98*$AY$3</f>
        <v>51901.15</v>
      </c>
      <c r="AZ100" s="12">
        <f>+Precios!AV98*Precios!AV$3</f>
        <v>0</v>
      </c>
      <c r="BA100" s="12">
        <f>+Precios!AW98*Precios!AW$3</f>
        <v>0</v>
      </c>
      <c r="BB100" s="12">
        <f>+Precios!AX98*Precios!AX$3</f>
        <v>0</v>
      </c>
      <c r="BC100" s="12">
        <f>+Precios!AY98*Precios!AY$3</f>
        <v>0</v>
      </c>
      <c r="BD100" s="12">
        <f>+Precios!AZ98*Precios!AZ$3</f>
        <v>0</v>
      </c>
      <c r="BE100" s="12">
        <f>+Precios!BA98*Precios!BA$3</f>
        <v>0</v>
      </c>
      <c r="BF100" s="12">
        <f>+Precios!BB98*Precios!BB$3</f>
        <v>0</v>
      </c>
      <c r="BG100" s="12">
        <f>+Precios!BC98*Precios!BC$3</f>
        <v>0</v>
      </c>
      <c r="BH100" s="12">
        <f>+Precios!BD98*$BH$3</f>
        <v>64429.86</v>
      </c>
      <c r="BI100" s="12">
        <f>+Precios!BE98*Precios!BE$3</f>
        <v>0</v>
      </c>
      <c r="BJ100" s="12">
        <f>+Precios!BF98*Precios!BF$3</f>
        <v>47193.7</v>
      </c>
      <c r="BK100" s="12">
        <f>+Precios!BG98*Precios!BG$3</f>
        <v>0</v>
      </c>
      <c r="BL100" s="12">
        <f>+Precios!BH98*Precios!BH$3</f>
        <v>0</v>
      </c>
      <c r="BM100" s="12">
        <f>+Precios!BI98*Precios!BI$3</f>
        <v>0</v>
      </c>
      <c r="BN100" s="12">
        <f>+Precios!BJ98*$BN$3</f>
        <v>0</v>
      </c>
      <c r="BO100" s="12">
        <f>+Precios!BK98*$BO$3</f>
        <v>0</v>
      </c>
      <c r="BP100" s="12">
        <f>+Precios!BL98*Precios!BL$3</f>
        <v>0</v>
      </c>
    </row>
    <row r="101" spans="1:77" ht="15" thickBot="1">
      <c r="A101" s="5">
        <f>+SUM(F101:XFD101)</f>
        <v>165124.53</v>
      </c>
      <c r="B101" s="26"/>
      <c r="C101" s="5">
        <f t="shared" si="1"/>
        <v>40846.489999999991</v>
      </c>
      <c r="D101" s="5">
        <f>1000000+C101-Cost!A101</f>
        <v>790883.03</v>
      </c>
      <c r="E101" s="15">
        <f>+Precios!A99</f>
        <v>46111</v>
      </c>
      <c r="F101" s="12">
        <f>+Precios!B99*Precios!B$3</f>
        <v>0</v>
      </c>
      <c r="G101" s="12">
        <f>+Precios!C99*Precios!C$3</f>
        <v>0</v>
      </c>
      <c r="H101" s="12">
        <f>+Precios!D99*Precios!D$3</f>
        <v>0</v>
      </c>
      <c r="I101" s="12">
        <f>+Precios!E99*Precios!E$3</f>
        <v>0</v>
      </c>
      <c r="J101" s="12">
        <f>+Precios!F99*Precios!F$3</f>
        <v>0</v>
      </c>
      <c r="K101" s="12">
        <f>+Precios!G99*Precios!G$3</f>
        <v>0</v>
      </c>
      <c r="L101" s="12">
        <f>+Precios!H99*Precios!H$3</f>
        <v>0</v>
      </c>
      <c r="M101" s="12">
        <f>+Precios!I99*Precios!I$3</f>
        <v>0</v>
      </c>
      <c r="N101" s="12">
        <f>+Precios!J99*Precios!J$3</f>
        <v>0</v>
      </c>
      <c r="O101" s="12">
        <f>+Precios!K99*Precios!K$3</f>
        <v>0</v>
      </c>
      <c r="P101" s="12">
        <f>+Precios!L99*Precios!L$3</f>
        <v>0</v>
      </c>
      <c r="Q101" s="12">
        <f>+Precios!M99*Precios!M$3</f>
        <v>0</v>
      </c>
      <c r="R101" s="12">
        <f>+Precios!N99*Precios!N$3</f>
        <v>0</v>
      </c>
      <c r="S101" s="12">
        <f>+Precios!O99*Precios!O$3</f>
        <v>0</v>
      </c>
      <c r="T101" s="12">
        <f>+Precios!P99*Precios!P$3</f>
        <v>0</v>
      </c>
      <c r="U101" s="12">
        <f>+Precios!Q99*Precios!Q$3</f>
        <v>0</v>
      </c>
      <c r="V101" s="12">
        <f>+Precios!R99*Precios!R$3</f>
        <v>0</v>
      </c>
      <c r="W101" s="12">
        <f>+Precios!S99*Precios!S$3</f>
        <v>0</v>
      </c>
      <c r="X101" s="12">
        <f>+Precios!T99*Precios!T$3</f>
        <v>0</v>
      </c>
      <c r="Y101" s="12">
        <f>+Precios!U99*Precios!U$3</f>
        <v>0</v>
      </c>
      <c r="Z101" s="12">
        <f>+Precios!V99*Precios!V$3</f>
        <v>0</v>
      </c>
      <c r="AA101" s="12">
        <f>+Precios!W99*Precios!W$3</f>
        <v>0</v>
      </c>
      <c r="AB101" s="12">
        <f>+Precios!X99*Precios!X$3</f>
        <v>0</v>
      </c>
      <c r="AC101" s="12">
        <f>+Precios!Y99*Precios!Y$3</f>
        <v>0</v>
      </c>
      <c r="AD101" s="12">
        <f>+Precios!Z99*Precios!Z$3</f>
        <v>0</v>
      </c>
      <c r="AE101" s="12">
        <f>+Precios!AA99*Precios!AA$3</f>
        <v>0</v>
      </c>
      <c r="AF101" s="12">
        <f>+Precios!AB99*Precios!AB$3</f>
        <v>0</v>
      </c>
      <c r="AG101" s="12">
        <f>+Precios!AC99*Precios!AC$3</f>
        <v>0</v>
      </c>
      <c r="AH101" s="12">
        <f>+Precios!AD99*Precios!AD$3</f>
        <v>0</v>
      </c>
      <c r="AI101" s="12">
        <f>+Precios!AE99*Precios!AE$3</f>
        <v>0</v>
      </c>
      <c r="AJ101" s="12">
        <f>+Precios!AF99*Precios!AF$3</f>
        <v>0</v>
      </c>
      <c r="AK101" s="12">
        <f>+Precios!AG99*Precios!AG$3</f>
        <v>0</v>
      </c>
      <c r="AL101" s="12">
        <f>+Precios!AH99*Precios!AH$3</f>
        <v>0</v>
      </c>
      <c r="AM101" s="12">
        <f>+Precios!AI99*Precios!AI$3</f>
        <v>0</v>
      </c>
      <c r="AN101" s="12">
        <f>+Precios!AJ99*Precios!AJ$3</f>
        <v>0</v>
      </c>
      <c r="AO101" s="12">
        <f>+Precios!AK99*Precios!AK$3</f>
        <v>0</v>
      </c>
      <c r="AP101" s="12">
        <f>+Precios!AL99*Precios!AL$3</f>
        <v>0</v>
      </c>
      <c r="AQ101" s="12">
        <f>+Precios!AM99*Precios!AM$3</f>
        <v>0</v>
      </c>
      <c r="AR101" s="12">
        <f>+Precios!AN99*Precios!AN$3</f>
        <v>0</v>
      </c>
      <c r="AS101" s="12">
        <f>+Precios!AO99*Precios!AO$3</f>
        <v>0</v>
      </c>
      <c r="AT101" s="12">
        <f>+Precios!AP99*Precios!AP$3</f>
        <v>0</v>
      </c>
      <c r="AU101" s="12">
        <f>+Precios!AQ99*Precios!AQ$3</f>
        <v>0</v>
      </c>
      <c r="AV101" s="12">
        <f>+Precios!AR99*Precios!AR$3</f>
        <v>0</v>
      </c>
      <c r="AW101" s="12">
        <f>+Precios!AS99*Precios!AS$3</f>
        <v>0</v>
      </c>
      <c r="AX101" s="12">
        <f>+Precios!AT99*Precios!AT$3</f>
        <v>0</v>
      </c>
      <c r="AY101" s="12">
        <f>+Precios!AU99*$AY$3</f>
        <v>54203.38</v>
      </c>
      <c r="AZ101" s="12">
        <f>+Precios!AV99*Precios!AV$3</f>
        <v>0</v>
      </c>
      <c r="BA101" s="12">
        <f>+Precios!AW99*Precios!AW$3</f>
        <v>0</v>
      </c>
      <c r="BB101" s="12">
        <f>+Precios!AX99*Precios!AX$3</f>
        <v>0</v>
      </c>
      <c r="BC101" s="12">
        <f>+Precios!AY99*Precios!AY$3</f>
        <v>0</v>
      </c>
      <c r="BD101" s="12">
        <f>+Precios!AZ99*Precios!AZ$3</f>
        <v>0</v>
      </c>
      <c r="BE101" s="12">
        <f>+Precios!BA99*Precios!BA$3</f>
        <v>0</v>
      </c>
      <c r="BF101" s="12">
        <f>+Precios!BB99*Precios!BB$3</f>
        <v>0</v>
      </c>
      <c r="BG101" s="12">
        <f>+Precios!BC99*Precios!BC$3</f>
        <v>0</v>
      </c>
      <c r="BH101" s="12">
        <f>+Precios!BD99*$BH$3</f>
        <v>65572.740000000005</v>
      </c>
      <c r="BI101" s="12">
        <f>+Precios!BE99*Precios!BE$3</f>
        <v>0</v>
      </c>
      <c r="BJ101" s="12">
        <f>+Precios!BF99*Precios!BF$3</f>
        <v>45348.409999999996</v>
      </c>
      <c r="BK101" s="12">
        <f>+Precios!BG99*Precios!BG$3</f>
        <v>0</v>
      </c>
      <c r="BL101" s="12">
        <f>+Precios!BH99*Precios!BH$3</f>
        <v>0</v>
      </c>
      <c r="BM101" s="12">
        <f>+Precios!BI99*Precios!BI$3</f>
        <v>0</v>
      </c>
      <c r="BN101" s="12">
        <f>+Precios!BJ99*$BN$3</f>
        <v>0</v>
      </c>
      <c r="BO101" s="12">
        <f>+Precios!BK99*$BO$3</f>
        <v>0</v>
      </c>
      <c r="BP101" s="12">
        <f>+Precios!BL99*Precios!BL$3</f>
        <v>0</v>
      </c>
    </row>
    <row r="102" spans="1:77" ht="15" thickBot="1">
      <c r="A102" s="5">
        <f>+SUM(F102:XFD102)</f>
        <v>281695.87</v>
      </c>
      <c r="B102" s="26"/>
      <c r="C102" s="5">
        <f t="shared" si="1"/>
        <v>40846.489999999991</v>
      </c>
      <c r="D102" s="5">
        <f>1000000+C102-Cost!A102</f>
        <v>640932.15</v>
      </c>
      <c r="E102" s="15">
        <f>+Precios!A100</f>
        <v>46112</v>
      </c>
      <c r="F102" s="12">
        <f>+Precios!B100*Precios!B$3</f>
        <v>0</v>
      </c>
      <c r="G102" s="12">
        <f>+Precios!C100*Precios!C$3</f>
        <v>0</v>
      </c>
      <c r="H102" s="12">
        <f>+Precios!D100*Precios!D$3</f>
        <v>0</v>
      </c>
      <c r="I102" s="12">
        <f>+Precios!E100*Precios!E$3</f>
        <v>0</v>
      </c>
      <c r="J102" s="12">
        <f>+Precios!F100*Precios!F$3</f>
        <v>0</v>
      </c>
      <c r="K102" s="12">
        <f>+Precios!G100*Precios!G$3</f>
        <v>0</v>
      </c>
      <c r="L102" s="12">
        <f>+Precios!H100*Precios!H$3</f>
        <v>0</v>
      </c>
      <c r="M102" s="12">
        <f>+Precios!I100*Precios!I$3</f>
        <v>0</v>
      </c>
      <c r="N102" s="12">
        <f>+Precios!J100*Precios!J$3</f>
        <v>0</v>
      </c>
      <c r="O102" s="12">
        <f>+Precios!K100*Precios!K$3</f>
        <v>0</v>
      </c>
      <c r="P102" s="12">
        <f>+Precios!L100*Precios!L$3</f>
        <v>0</v>
      </c>
      <c r="Q102" s="12">
        <f>+Precios!M100*Precios!M$3</f>
        <v>0</v>
      </c>
      <c r="R102" s="12">
        <f>+Precios!N100*Precios!N$3</f>
        <v>0</v>
      </c>
      <c r="S102" s="12">
        <f>+Precios!O100*Precios!O$3</f>
        <v>0</v>
      </c>
      <c r="T102" s="12">
        <f>+Precios!P100*Precios!P$3</f>
        <v>0</v>
      </c>
      <c r="U102" s="12">
        <f>+Precios!Q100*Precios!Q$3</f>
        <v>0</v>
      </c>
      <c r="V102" s="12">
        <f>+Precios!R100*Precios!R$3</f>
        <v>0</v>
      </c>
      <c r="W102" s="12">
        <f>+Precios!S100*Precios!S$3</f>
        <v>0</v>
      </c>
      <c r="X102" s="12">
        <f>+Precios!T100*Precios!T$3</f>
        <v>0</v>
      </c>
      <c r="Y102" s="12">
        <f>+Precios!U100*Precios!U$3</f>
        <v>0</v>
      </c>
      <c r="Z102" s="12">
        <f>+Precios!V100*Precios!V$3</f>
        <v>0</v>
      </c>
      <c r="AA102" s="12">
        <f>+Precios!W100*Precios!W$3</f>
        <v>0</v>
      </c>
      <c r="AB102" s="12">
        <f>+Precios!X100*Precios!X$3</f>
        <v>0</v>
      </c>
      <c r="AC102" s="12">
        <f>+Precios!Y100*Precios!Y$3</f>
        <v>0</v>
      </c>
      <c r="AD102" s="12">
        <f>+Precios!Z100*Precios!Z$3</f>
        <v>0</v>
      </c>
      <c r="AE102" s="12">
        <f>+Precios!AA100*Precios!AA$3</f>
        <v>0</v>
      </c>
      <c r="AF102" s="12">
        <f>+Precios!AB100*Precios!AB$3</f>
        <v>0</v>
      </c>
      <c r="AG102" s="12">
        <f>+Precios!AC100*Precios!AC$3</f>
        <v>0</v>
      </c>
      <c r="AH102" s="12">
        <f>+Precios!AD100*Precios!AD$3</f>
        <v>0</v>
      </c>
      <c r="AI102" s="12">
        <f>+Precios!AE100*Precios!AE$3</f>
        <v>0</v>
      </c>
      <c r="AJ102" s="12">
        <f>+Precios!AF100*Precios!AF$3</f>
        <v>0</v>
      </c>
      <c r="AK102" s="12">
        <f>+Precios!AG100*Precios!AG$3</f>
        <v>0</v>
      </c>
      <c r="AL102" s="12">
        <f>+Precios!AH100*Precios!AH$3</f>
        <v>0</v>
      </c>
      <c r="AM102" s="12">
        <f>+Precios!AI100*Precios!AI$3</f>
        <v>0</v>
      </c>
      <c r="AN102" s="12">
        <f>+Precios!AJ100*Precios!AJ$3</f>
        <v>0</v>
      </c>
      <c r="AO102" s="12">
        <f>+Precios!AK100*Precios!AK$3</f>
        <v>0</v>
      </c>
      <c r="AP102" s="12">
        <f>+Precios!AL100*Precios!AL$3</f>
        <v>0</v>
      </c>
      <c r="AQ102" s="12">
        <f>+Precios!AM100*Precios!AM$3</f>
        <v>0</v>
      </c>
      <c r="AR102" s="12">
        <f>+Precios!AN100*Precios!AN$3</f>
        <v>0</v>
      </c>
      <c r="AS102" s="12">
        <f>+Precios!AO100*Precios!AO$3</f>
        <v>0</v>
      </c>
      <c r="AT102" s="12">
        <f>+Precios!AP100*Precios!AP$3</f>
        <v>0</v>
      </c>
      <c r="AU102" s="12">
        <f>+Precios!AQ100*Precios!AQ$3</f>
        <v>0</v>
      </c>
      <c r="AV102" s="12">
        <f>+Precios!AR100*Precios!AR$3</f>
        <v>0</v>
      </c>
      <c r="AW102" s="12">
        <f>+Precios!AS100*Precios!AS$3</f>
        <v>0</v>
      </c>
      <c r="AX102" s="12">
        <f>+Precios!AT100*Precios!AT$3</f>
        <v>0</v>
      </c>
      <c r="AY102" s="12">
        <f>+Precios!AU100*$AY$3</f>
        <v>57394.19</v>
      </c>
      <c r="AZ102" s="12">
        <f>+Precios!AV100*Precios!AV$3</f>
        <v>0</v>
      </c>
      <c r="BA102" s="12">
        <f>+Precios!AW100*Precios!AW$3</f>
        <v>0</v>
      </c>
      <c r="BB102" s="12">
        <f>+Precios!AX100*Precios!AX$3</f>
        <v>0</v>
      </c>
      <c r="BC102" s="12">
        <f>+Precios!AY100*Precios!AY$3</f>
        <v>0</v>
      </c>
      <c r="BD102" s="12">
        <f>+Precios!AZ100*Precios!AZ$3</f>
        <v>0</v>
      </c>
      <c r="BE102" s="12">
        <f>+Precios!BA100*Precios!BA$3</f>
        <v>0</v>
      </c>
      <c r="BF102" s="12">
        <f>+Precios!BB100*Precios!BB$3</f>
        <v>0</v>
      </c>
      <c r="BG102" s="12">
        <f>+Precios!BC100*Precios!BC$3</f>
        <v>0</v>
      </c>
      <c r="BH102" s="12">
        <f>+Precios!BD100*$BH$3</f>
        <v>69144.240000000005</v>
      </c>
      <c r="BI102" s="12">
        <f>+Precios!BE100*Precios!BE$3</f>
        <v>0</v>
      </c>
      <c r="BJ102" s="12">
        <f>+Precios!BF100*Precios!BF$3</f>
        <v>49643.199999999997</v>
      </c>
      <c r="BK102" s="12">
        <f>+Precios!BG100*Precios!BG$3</f>
        <v>0</v>
      </c>
      <c r="BL102" s="12">
        <f>+Precios!BH100*Precios!BH$3</f>
        <v>0</v>
      </c>
      <c r="BM102" s="12">
        <f>+Precios!BI100*Precios!BI$3</f>
        <v>0</v>
      </c>
      <c r="BN102" s="12">
        <f>+Precios!BJ100*$BN$3</f>
        <v>52199.35</v>
      </c>
      <c r="BO102" s="12">
        <f>+Precios!BK100*$BO$3</f>
        <v>53314.89</v>
      </c>
      <c r="BP102" s="12">
        <f>+Precios!BL100*Precios!BL$3</f>
        <v>0</v>
      </c>
    </row>
    <row r="103" spans="1:77" ht="15" thickBot="1">
      <c r="A103" s="5">
        <f>+SUM(F103:XFD103)</f>
        <v>385994.18999999994</v>
      </c>
      <c r="B103" s="26"/>
      <c r="C103" s="5">
        <f t="shared" si="1"/>
        <v>40846.489999999991</v>
      </c>
      <c r="D103" s="5">
        <f>1000000+C103-Cost!A103</f>
        <v>540932.15</v>
      </c>
      <c r="E103" s="15">
        <f>+Precios!A101</f>
        <v>46113</v>
      </c>
      <c r="F103" s="12">
        <f>+Precios!B101*Precios!B$3</f>
        <v>0</v>
      </c>
      <c r="G103" s="12">
        <f>+Precios!C101*Precios!C$3</f>
        <v>0</v>
      </c>
      <c r="H103" s="12">
        <f>+Precios!D101*Precios!D$3</f>
        <v>0</v>
      </c>
      <c r="I103" s="12">
        <f>+Precios!E101*Precios!E$3</f>
        <v>0</v>
      </c>
      <c r="J103" s="12">
        <f>+Precios!F101*Precios!F$3</f>
        <v>0</v>
      </c>
      <c r="K103" s="12">
        <f>+Precios!G101*Precios!G$3</f>
        <v>0</v>
      </c>
      <c r="L103" s="12">
        <f>+Precios!H101*Precios!H$3</f>
        <v>0</v>
      </c>
      <c r="M103" s="12">
        <f>+Precios!I101*Precios!I$3</f>
        <v>0</v>
      </c>
      <c r="N103" s="12">
        <f>+Precios!J101*Precios!J$3</f>
        <v>0</v>
      </c>
      <c r="O103" s="12">
        <f>+Precios!K101*Precios!K$3</f>
        <v>0</v>
      </c>
      <c r="P103" s="12">
        <f>+Precios!L101*Precios!L$3</f>
        <v>0</v>
      </c>
      <c r="Q103" s="12">
        <f>+Precios!M101*Precios!M$3</f>
        <v>0</v>
      </c>
      <c r="R103" s="12">
        <f>+Precios!N101*Precios!N$3</f>
        <v>0</v>
      </c>
      <c r="S103" s="12">
        <f>+Precios!O101*Precios!O$3</f>
        <v>0</v>
      </c>
      <c r="T103" s="12">
        <f>+Precios!P101*Precios!P$3</f>
        <v>0</v>
      </c>
      <c r="U103" s="12">
        <f>+Precios!Q101*Precios!Q$3</f>
        <v>0</v>
      </c>
      <c r="V103" s="12">
        <f>+Precios!R101*Precios!R$3</f>
        <v>0</v>
      </c>
      <c r="W103" s="12">
        <f>+Precios!S101*Precios!S$3</f>
        <v>0</v>
      </c>
      <c r="X103" s="12">
        <f>+Precios!T101*Precios!T$3</f>
        <v>0</v>
      </c>
      <c r="Y103" s="12">
        <f>+Precios!U101*Precios!U$3</f>
        <v>0</v>
      </c>
      <c r="Z103" s="12">
        <f>+Precios!V101*Precios!V$3</f>
        <v>0</v>
      </c>
      <c r="AA103" s="12">
        <f>+Precios!W101*Precios!W$3</f>
        <v>0</v>
      </c>
      <c r="AB103" s="12">
        <f>+Precios!X101*Precios!X$3</f>
        <v>0</v>
      </c>
      <c r="AC103" s="12">
        <f>+Precios!Y101*Precios!Y$3</f>
        <v>0</v>
      </c>
      <c r="AD103" s="12">
        <f>+Precios!Z101*Precios!Z$3</f>
        <v>0</v>
      </c>
      <c r="AE103" s="12">
        <f>+Precios!AA101*Precios!AA$3</f>
        <v>0</v>
      </c>
      <c r="AF103" s="12">
        <f>+Precios!AB101*Precios!AB$3</f>
        <v>0</v>
      </c>
      <c r="AG103" s="12">
        <f>+Precios!AC101*Precios!AC$3</f>
        <v>0</v>
      </c>
      <c r="AH103" s="12">
        <f>+Precios!AD101*Precios!AD$3</f>
        <v>0</v>
      </c>
      <c r="AI103" s="12">
        <f>+Precios!AE101*Precios!AE$3</f>
        <v>0</v>
      </c>
      <c r="AJ103" s="12">
        <f>+Precios!AF101*Precios!AF$3</f>
        <v>0</v>
      </c>
      <c r="AK103" s="12">
        <f>+Precios!AG101*Precios!AG$3</f>
        <v>0</v>
      </c>
      <c r="AL103" s="12">
        <f>+Precios!AH101*Precios!AH$3</f>
        <v>0</v>
      </c>
      <c r="AM103" s="12">
        <f>+Precios!AI101*Precios!AI$3</f>
        <v>0</v>
      </c>
      <c r="AN103" s="12">
        <f>+Precios!AJ101*Precios!AJ$3</f>
        <v>0</v>
      </c>
      <c r="AO103" s="12">
        <f>+Precios!AK101*Precios!AK$3</f>
        <v>0</v>
      </c>
      <c r="AP103" s="12">
        <f>+Precios!AL101*Precios!AL$3</f>
        <v>0</v>
      </c>
      <c r="AQ103" s="12">
        <f>+Precios!AM101*Precios!AM$3</f>
        <v>0</v>
      </c>
      <c r="AR103" s="12">
        <f>+Precios!AN101*Precios!AN$3</f>
        <v>0</v>
      </c>
      <c r="AS103" s="12">
        <f>+Precios!AO101*Precios!AO$3</f>
        <v>0</v>
      </c>
      <c r="AT103" s="12">
        <f>+Precios!AP101*Precios!AP$3</f>
        <v>0</v>
      </c>
      <c r="AU103" s="12">
        <f>+Precios!AQ101*Precios!AQ$3</f>
        <v>0</v>
      </c>
      <c r="AV103" s="12">
        <f>+Precios!AR101*Precios!AR$3</f>
        <v>0</v>
      </c>
      <c r="AW103" s="12">
        <f>+Precios!AS101*Precios!AS$3</f>
        <v>0</v>
      </c>
      <c r="AX103" s="12">
        <f>+Precios!AT101*Precios!AT$3</f>
        <v>0</v>
      </c>
      <c r="AY103" s="12">
        <f>+Precios!AU101*$AY$3</f>
        <v>56303.659999999996</v>
      </c>
      <c r="AZ103" s="12">
        <f>+Precios!AV101*Precios!AV$3</f>
        <v>0</v>
      </c>
      <c r="BA103" s="12">
        <f>+Precios!AW101*Precios!AW$3</f>
        <v>0</v>
      </c>
      <c r="BB103" s="12">
        <f>+Precios!AX101*Precios!AX$3</f>
        <v>0</v>
      </c>
      <c r="BC103" s="12">
        <f>+Precios!AY101*Precios!AY$3</f>
        <v>0</v>
      </c>
      <c r="BD103" s="12">
        <f>+Precios!AZ101*Precios!AZ$3</f>
        <v>0</v>
      </c>
      <c r="BE103" s="12">
        <f>+Precios!BA101*Precios!BA$3</f>
        <v>0</v>
      </c>
      <c r="BF103" s="12">
        <f>+Precios!BB101*Precios!BB$3</f>
        <v>0</v>
      </c>
      <c r="BG103" s="12">
        <f>+Precios!BC101*Precios!BC$3</f>
        <v>0</v>
      </c>
      <c r="BH103" s="12">
        <f>+Precios!BD101*$BH$3</f>
        <v>68429.94</v>
      </c>
      <c r="BI103" s="12">
        <f>+Precios!BE101*Precios!BE$3</f>
        <v>0</v>
      </c>
      <c r="BJ103" s="12">
        <f>+Precios!BF101*Precios!BF$3</f>
        <v>49185.96</v>
      </c>
      <c r="BK103" s="12">
        <f>+Precios!BG101*Precios!BG$3</f>
        <v>0</v>
      </c>
      <c r="BL103" s="12">
        <f>+Precios!BH101*Precios!BH$3</f>
        <v>0</v>
      </c>
      <c r="BM103" s="12">
        <f>+Precios!BI101*Precios!BI$3</f>
        <v>0</v>
      </c>
      <c r="BN103" s="12">
        <f>+Precios!BJ101*$BN$3</f>
        <v>56236.17</v>
      </c>
      <c r="BO103" s="12">
        <f>+Precios!BK101*$BO$3</f>
        <v>54451.229999999996</v>
      </c>
      <c r="BP103" s="12">
        <f>+Precios!BL101*Precios!BL$3</f>
        <v>0</v>
      </c>
      <c r="BQ103" s="12">
        <f>+Precios!BM101*Precios!BM$3</f>
        <v>49006.11</v>
      </c>
      <c r="BR103" s="12">
        <f>+Precios!BN101*$BR$3</f>
        <v>52381.119999999995</v>
      </c>
      <c r="BS103" s="12">
        <f>+Precios!BO101*Precios!BO$3</f>
        <v>0</v>
      </c>
      <c r="BT103" s="12">
        <f>+Precios!BP101*$BT$3</f>
        <v>0</v>
      </c>
      <c r="BU103" s="12">
        <f>+Precios!BQ101*$BU$3</f>
        <v>0</v>
      </c>
      <c r="BV103" s="12">
        <f>+Precios!BR101*$BV$3</f>
        <v>0</v>
      </c>
      <c r="BW103" s="12">
        <f>+Precios!BS101*Precios!BS$3</f>
        <v>0</v>
      </c>
      <c r="BX103" s="12">
        <f>+Precios!BT101*Precios!BT$3</f>
        <v>0</v>
      </c>
      <c r="BY103" s="12">
        <f>+Precios!BU101*Precios!BU$3</f>
        <v>0</v>
      </c>
    </row>
    <row r="104" spans="1:77" ht="15" thickBot="1">
      <c r="A104" s="5">
        <f>+SUM(F104:XFD104)</f>
        <v>399552.64</v>
      </c>
      <c r="B104" s="26">
        <f>+TRACK!M58+TRACK!M59</f>
        <v>-6904.2100000000028</v>
      </c>
      <c r="C104" s="5">
        <f t="shared" si="1"/>
        <v>33942.279999999984</v>
      </c>
      <c r="D104" s="5">
        <f>1000000+C104-Cost!A104</f>
        <v>534027.94000000006</v>
      </c>
      <c r="E104" s="15">
        <f>+Precios!A102</f>
        <v>46114</v>
      </c>
      <c r="F104" s="12">
        <f>+Precios!B102*Precios!B$3</f>
        <v>0</v>
      </c>
      <c r="G104" s="12">
        <f>+Precios!C102*Precios!C$3</f>
        <v>0</v>
      </c>
      <c r="H104" s="12">
        <f>+Precios!D102*Precios!D$3</f>
        <v>0</v>
      </c>
      <c r="I104" s="12">
        <f>+Precios!E102*Precios!E$3</f>
        <v>0</v>
      </c>
      <c r="J104" s="12">
        <f>+Precios!F102*Precios!F$3</f>
        <v>0</v>
      </c>
      <c r="K104" s="12">
        <f>+Precios!G102*Precios!G$3</f>
        <v>0</v>
      </c>
      <c r="L104" s="12">
        <f>+Precios!H102*Precios!H$3</f>
        <v>0</v>
      </c>
      <c r="M104" s="12">
        <f>+Precios!I102*Precios!I$3</f>
        <v>0</v>
      </c>
      <c r="N104" s="12">
        <f>+Precios!J102*Precios!J$3</f>
        <v>0</v>
      </c>
      <c r="O104" s="12">
        <f>+Precios!K102*Precios!K$3</f>
        <v>0</v>
      </c>
      <c r="P104" s="12">
        <f>+Precios!L102*Precios!L$3</f>
        <v>0</v>
      </c>
      <c r="Q104" s="12">
        <f>+Precios!M102*Precios!M$3</f>
        <v>0</v>
      </c>
      <c r="R104" s="12">
        <f>+Precios!N102*Precios!N$3</f>
        <v>0</v>
      </c>
      <c r="S104" s="12">
        <f>+Precios!O102*Precios!O$3</f>
        <v>0</v>
      </c>
      <c r="T104" s="12">
        <f>+Precios!P102*Precios!P$3</f>
        <v>0</v>
      </c>
      <c r="U104" s="12">
        <f>+Precios!Q102*Precios!Q$3</f>
        <v>0</v>
      </c>
      <c r="V104" s="12">
        <f>+Precios!R102*Precios!R$3</f>
        <v>0</v>
      </c>
      <c r="W104" s="12">
        <f>+Precios!S102*Precios!S$3</f>
        <v>0</v>
      </c>
      <c r="X104" s="12">
        <f>+Precios!T102*Precios!T$3</f>
        <v>0</v>
      </c>
      <c r="Y104" s="12">
        <f>+Precios!U102*Precios!U$3</f>
        <v>0</v>
      </c>
      <c r="Z104" s="12">
        <f>+Precios!V102*Precios!V$3</f>
        <v>0</v>
      </c>
      <c r="AA104" s="12">
        <f>+Precios!W102*Precios!W$3</f>
        <v>0</v>
      </c>
      <c r="AB104" s="12">
        <f>+Precios!X102*Precios!X$3</f>
        <v>0</v>
      </c>
      <c r="AC104" s="12">
        <f>+Precios!Y102*Precios!Y$3</f>
        <v>0</v>
      </c>
      <c r="AD104" s="12">
        <f>+Precios!Z102*Precios!Z$3</f>
        <v>0</v>
      </c>
      <c r="AE104" s="12">
        <f>+Precios!AA102*Precios!AA$3</f>
        <v>0</v>
      </c>
      <c r="AF104" s="12">
        <f>+Precios!AB102*Precios!AB$3</f>
        <v>0</v>
      </c>
      <c r="AG104" s="12">
        <f>+Precios!AC102*Precios!AC$3</f>
        <v>0</v>
      </c>
      <c r="AH104" s="12">
        <f>+Precios!AD102*Precios!AD$3</f>
        <v>0</v>
      </c>
      <c r="AI104" s="12">
        <f>+Precios!AE102*Precios!AE$3</f>
        <v>0</v>
      </c>
      <c r="AJ104" s="12">
        <f>+Precios!AF102*Precios!AF$3</f>
        <v>0</v>
      </c>
      <c r="AK104" s="12">
        <f>+Precios!AG102*Precios!AG$3</f>
        <v>0</v>
      </c>
      <c r="AL104" s="12">
        <f>+Precios!AH102*Precios!AH$3</f>
        <v>0</v>
      </c>
      <c r="AM104" s="12">
        <f>+Precios!AI102*Precios!AI$3</f>
        <v>0</v>
      </c>
      <c r="AN104" s="12">
        <f>+Precios!AJ102*Precios!AJ$3</f>
        <v>0</v>
      </c>
      <c r="AO104" s="12">
        <f>+Precios!AK102*Precios!AK$3</f>
        <v>0</v>
      </c>
      <c r="AP104" s="12">
        <f>+Precios!AL102*Precios!AL$3</f>
        <v>0</v>
      </c>
      <c r="AQ104" s="12">
        <f>+Precios!AM102*Precios!AM$3</f>
        <v>0</v>
      </c>
      <c r="AR104" s="12">
        <f>+Precios!AN102*Precios!AN$3</f>
        <v>0</v>
      </c>
      <c r="AS104" s="12">
        <f>+Precios!AO102*Precios!AO$3</f>
        <v>0</v>
      </c>
      <c r="AT104" s="12">
        <f>+Precios!AP102*Precios!AP$3</f>
        <v>0</v>
      </c>
      <c r="AU104" s="12">
        <f>+Precios!AQ102*Precios!AQ$3</f>
        <v>0</v>
      </c>
      <c r="AV104" s="12">
        <f>+Precios!AR102*Precios!AR$3</f>
        <v>0</v>
      </c>
      <c r="AW104" s="12">
        <f>+Precios!AS102*Precios!AS$3</f>
        <v>0</v>
      </c>
      <c r="AX104" s="12">
        <f>+Precios!AT102*Precios!AT$3</f>
        <v>0</v>
      </c>
      <c r="AY104" s="12">
        <f>+Precios!AU102*$AY$3</f>
        <v>58282.77</v>
      </c>
      <c r="AZ104" s="12">
        <f>+Precios!AV102*Precios!AV$3</f>
        <v>0</v>
      </c>
      <c r="BA104" s="12">
        <f>+Precios!AW102*Precios!AW$3</f>
        <v>0</v>
      </c>
      <c r="BB104" s="12">
        <f>+Precios!AX102*Precios!AX$3</f>
        <v>0</v>
      </c>
      <c r="BC104" s="12">
        <f>+Precios!AY102*Precios!AY$3</f>
        <v>0</v>
      </c>
      <c r="BD104" s="12">
        <f>+Precios!AZ102*Precios!AZ$3</f>
        <v>0</v>
      </c>
      <c r="BE104" s="12">
        <f>+Precios!BA102*Precios!BA$3</f>
        <v>0</v>
      </c>
      <c r="BF104" s="12">
        <f>+Precios!BB102*Precios!BB$3</f>
        <v>0</v>
      </c>
      <c r="BG104" s="12">
        <f>+Precios!BC102*Precios!BC$3</f>
        <v>0</v>
      </c>
      <c r="BH104" s="12">
        <f>+Precios!BD102*$BH$3</f>
        <v>66715.62</v>
      </c>
      <c r="BI104" s="12">
        <f>+Precios!BE102*Precios!BE$3</f>
        <v>0</v>
      </c>
      <c r="BJ104" s="12">
        <f>+Precios!BF102*Precios!BF$3</f>
        <v>52435.63</v>
      </c>
      <c r="BK104" s="12">
        <f>+Precios!BG102*Precios!BG$3</f>
        <v>0</v>
      </c>
      <c r="BL104" s="12">
        <f>+Precios!BH102*Precios!BH$3</f>
        <v>0</v>
      </c>
      <c r="BM104" s="12">
        <f>+Precios!BI102*Precios!BI$3</f>
        <v>0</v>
      </c>
      <c r="BN104" s="12">
        <f>+Precios!BJ102*$BN$3</f>
        <v>56446.97</v>
      </c>
      <c r="BO104" s="12">
        <f>+Precios!BK102*$BO$3</f>
        <v>55096.439999999995</v>
      </c>
      <c r="BP104" s="12">
        <f>+Precios!BL102*Precios!BL$3</f>
        <v>0</v>
      </c>
      <c r="BQ104" s="12">
        <f>+Precios!BM102*Precios!BM$3</f>
        <v>48489.090000000004</v>
      </c>
      <c r="BR104" s="12">
        <f>+Precios!BN102*$BR$3</f>
        <v>62086.119999999995</v>
      </c>
      <c r="BS104" s="12">
        <f>+Precios!BO102*Precios!BO$3</f>
        <v>0</v>
      </c>
      <c r="BT104" s="12">
        <f>+Precios!BP102*$BT$3</f>
        <v>0</v>
      </c>
      <c r="BU104" s="12">
        <f>+Precios!BQ102*$BU$3</f>
        <v>0</v>
      </c>
      <c r="BV104" s="12">
        <f>+Precios!BR102*$BV$3</f>
        <v>0</v>
      </c>
      <c r="BW104" s="12">
        <f>+Precios!BS102*Precios!BS$3</f>
        <v>0</v>
      </c>
      <c r="BX104" s="12">
        <f>+Precios!BT102*Precios!BT$3</f>
        <v>0</v>
      </c>
      <c r="BY104" s="12">
        <f>+Precios!BU102*Precios!BU$3</f>
        <v>0</v>
      </c>
    </row>
    <row r="105" spans="1:77" ht="15" thickBot="1">
      <c r="A105" s="5">
        <f>+SUM(F105:XFD105)</f>
        <v>398285.28000000009</v>
      </c>
      <c r="B105" s="26"/>
      <c r="C105" s="5">
        <f t="shared" si="1"/>
        <v>33942.279999999984</v>
      </c>
      <c r="D105" s="5">
        <f>1000000+C105-Cost!A105</f>
        <v>683988.01</v>
      </c>
      <c r="E105" s="15">
        <f>+Precios!A103</f>
        <v>46115</v>
      </c>
      <c r="F105" s="12">
        <f>+Precios!B103*Precios!B$3</f>
        <v>0</v>
      </c>
      <c r="G105" s="12">
        <f>+Precios!C103*Precios!C$3</f>
        <v>0</v>
      </c>
      <c r="H105" s="12">
        <f>+Precios!D103*Precios!D$3</f>
        <v>0</v>
      </c>
      <c r="I105" s="12">
        <f>+Precios!E103*Precios!E$3</f>
        <v>0</v>
      </c>
      <c r="J105" s="12">
        <f>+Precios!F103*Precios!F$3</f>
        <v>0</v>
      </c>
      <c r="K105" s="12">
        <f>+Precios!G103*Precios!G$3</f>
        <v>0</v>
      </c>
      <c r="L105" s="12">
        <f>+Precios!H103*Precios!H$3</f>
        <v>0</v>
      </c>
      <c r="M105" s="12">
        <f>+Precios!I103*Precios!I$3</f>
        <v>0</v>
      </c>
      <c r="N105" s="12">
        <f>+Precios!J103*Precios!J$3</f>
        <v>0</v>
      </c>
      <c r="O105" s="12">
        <f>+Precios!K103*Precios!K$3</f>
        <v>0</v>
      </c>
      <c r="P105" s="12">
        <f>+Precios!L103*Precios!L$3</f>
        <v>0</v>
      </c>
      <c r="Q105" s="12">
        <f>+Precios!M103*Precios!M$3</f>
        <v>0</v>
      </c>
      <c r="R105" s="12">
        <f>+Precios!N103*Precios!N$3</f>
        <v>0</v>
      </c>
      <c r="S105" s="12">
        <f>+Precios!O103*Precios!O$3</f>
        <v>0</v>
      </c>
      <c r="T105" s="12">
        <f>+Precios!P103*Precios!P$3</f>
        <v>0</v>
      </c>
      <c r="U105" s="12">
        <f>+Precios!Q103*Precios!Q$3</f>
        <v>0</v>
      </c>
      <c r="V105" s="12">
        <f>+Precios!R103*Precios!R$3</f>
        <v>0</v>
      </c>
      <c r="W105" s="12">
        <f>+Precios!S103*Precios!S$3</f>
        <v>0</v>
      </c>
      <c r="X105" s="12">
        <f>+Precios!T103*Precios!T$3</f>
        <v>0</v>
      </c>
      <c r="Y105" s="12">
        <f>+Precios!U103*Precios!U$3</f>
        <v>0</v>
      </c>
      <c r="Z105" s="12">
        <f>+Precios!V103*Precios!V$3</f>
        <v>0</v>
      </c>
      <c r="AA105" s="12">
        <f>+Precios!W103*Precios!W$3</f>
        <v>0</v>
      </c>
      <c r="AB105" s="12">
        <f>+Precios!X103*Precios!X$3</f>
        <v>0</v>
      </c>
      <c r="AC105" s="12">
        <f>+Precios!Y103*Precios!Y$3</f>
        <v>0</v>
      </c>
      <c r="AD105" s="12">
        <f>+Precios!Z103*Precios!Z$3</f>
        <v>0</v>
      </c>
      <c r="AE105" s="12">
        <f>+Precios!AA103*Precios!AA$3</f>
        <v>0</v>
      </c>
      <c r="AF105" s="12">
        <f>+Precios!AB103*Precios!AB$3</f>
        <v>0</v>
      </c>
      <c r="AG105" s="12">
        <f>+Precios!AC103*Precios!AC$3</f>
        <v>0</v>
      </c>
      <c r="AH105" s="12">
        <f>+Precios!AD103*Precios!AD$3</f>
        <v>0</v>
      </c>
      <c r="AI105" s="12">
        <f>+Precios!AE103*Precios!AE$3</f>
        <v>0</v>
      </c>
      <c r="AJ105" s="12">
        <f>+Precios!AF103*Precios!AF$3</f>
        <v>0</v>
      </c>
      <c r="AK105" s="12">
        <f>+Precios!AG103*Precios!AG$3</f>
        <v>0</v>
      </c>
      <c r="AL105" s="12">
        <f>+Precios!AH103*Precios!AH$3</f>
        <v>0</v>
      </c>
      <c r="AM105" s="12">
        <f>+Precios!AI103*Precios!AI$3</f>
        <v>0</v>
      </c>
      <c r="AN105" s="12">
        <f>+Precios!AJ103*Precios!AJ$3</f>
        <v>0</v>
      </c>
      <c r="AO105" s="12">
        <f>+Precios!AK103*Precios!AK$3</f>
        <v>0</v>
      </c>
      <c r="AP105" s="12">
        <f>+Precios!AL103*Precios!AL$3</f>
        <v>0</v>
      </c>
      <c r="AQ105" s="12">
        <f>+Precios!AM103*Precios!AM$3</f>
        <v>0</v>
      </c>
      <c r="AR105" s="12">
        <f>+Precios!AN103*Precios!AN$3</f>
        <v>0</v>
      </c>
      <c r="AS105" s="12">
        <f>+Precios!AO103*Precios!AO$3</f>
        <v>0</v>
      </c>
      <c r="AT105" s="12">
        <f>+Precios!AP103*Precios!AP$3</f>
        <v>0</v>
      </c>
      <c r="AU105" s="12">
        <f>+Precios!AQ103*Precios!AQ$3</f>
        <v>0</v>
      </c>
      <c r="AV105" s="12">
        <f>+Precios!AR103*Precios!AR$3</f>
        <v>0</v>
      </c>
      <c r="AW105" s="12">
        <f>+Precios!AS103*Precios!AS$3</f>
        <v>0</v>
      </c>
      <c r="AX105" s="12">
        <f>+Precios!AT103*Precios!AT$3</f>
        <v>0</v>
      </c>
      <c r="AY105" s="12">
        <f>+Precios!AU103*$AY$3</f>
        <v>60261.88</v>
      </c>
      <c r="AZ105" s="12">
        <f>+Precios!AV103*Precios!AV$3</f>
        <v>0</v>
      </c>
      <c r="BA105" s="12">
        <f>+Precios!AW103*Precios!AW$3</f>
        <v>0</v>
      </c>
      <c r="BB105" s="12">
        <f>+Precios!AX103*Precios!AX$3</f>
        <v>0</v>
      </c>
      <c r="BC105" s="12">
        <f>+Precios!AY103*Precios!AY$3</f>
        <v>0</v>
      </c>
      <c r="BD105" s="12">
        <f>+Precios!AZ103*Precios!AZ$3</f>
        <v>0</v>
      </c>
      <c r="BE105" s="12">
        <f>+Precios!BA103*Precios!BA$3</f>
        <v>0</v>
      </c>
      <c r="BF105" s="12">
        <f>+Precios!BB103*Precios!BB$3</f>
        <v>0</v>
      </c>
      <c r="BG105" s="12">
        <f>+Precios!BC103*Precios!BC$3</f>
        <v>0</v>
      </c>
      <c r="BH105" s="12">
        <f>+Precios!BD103*$BH$3</f>
        <v>65429.88</v>
      </c>
      <c r="BI105" s="12">
        <f>+Precios!BE103*Precios!BE$3</f>
        <v>0</v>
      </c>
      <c r="BJ105" s="12">
        <f>+Precios!BF103*Precios!BF$3</f>
        <v>51733.440000000002</v>
      </c>
      <c r="BK105" s="12">
        <f>+Precios!BG103*Precios!BG$3</f>
        <v>0</v>
      </c>
      <c r="BL105" s="12">
        <f>+Precios!BH103*Precios!BH$3</f>
        <v>0</v>
      </c>
      <c r="BM105" s="12">
        <f>+Precios!BI103*Precios!BI$3</f>
        <v>0</v>
      </c>
      <c r="BN105" s="12">
        <f>+Precios!BJ103*$BN$3</f>
        <v>57711.770000000004</v>
      </c>
      <c r="BO105" s="12">
        <f>+Precios!BK103*$BO$3</f>
        <v>54714.45</v>
      </c>
      <c r="BP105" s="12">
        <f>+Precios!BL103*Precios!BL$3</f>
        <v>0</v>
      </c>
      <c r="BQ105" s="12">
        <f>+Precios!BM103*Precios!BM$3</f>
        <v>49116.9</v>
      </c>
      <c r="BR105" s="12">
        <f>+Precios!BN103*$BR$3</f>
        <v>59316.960000000006</v>
      </c>
      <c r="BS105" s="12">
        <f>+Precios!BO103*Precios!BO$3</f>
        <v>0</v>
      </c>
      <c r="BT105" s="12">
        <f>+Precios!BP103*$BT$3</f>
        <v>0</v>
      </c>
      <c r="BU105" s="12">
        <f>+Precios!BQ103*$BU$3</f>
        <v>0</v>
      </c>
      <c r="BV105" s="12">
        <f>+Precios!BR103*$BV$3</f>
        <v>0</v>
      </c>
      <c r="BW105" s="12">
        <f>+Precios!BS103*Precios!BS$3</f>
        <v>0</v>
      </c>
      <c r="BX105" s="12">
        <f>+Precios!BT103*Precios!BT$3</f>
        <v>0</v>
      </c>
      <c r="BY105" s="12">
        <f>+Precios!BU103*Precios!BU$3</f>
        <v>0</v>
      </c>
    </row>
    <row r="106" spans="1:77" ht="15" thickBot="1">
      <c r="A106" s="5">
        <f>+SUM(F106:XFD106)</f>
        <v>499899.28000000014</v>
      </c>
      <c r="B106" s="26"/>
      <c r="C106" s="5">
        <f t="shared" si="1"/>
        <v>33942.279999999984</v>
      </c>
      <c r="D106" s="5">
        <f>1000000+C106-Cost!A106</f>
        <v>533988.01</v>
      </c>
      <c r="E106" s="15">
        <f>+Precios!A104</f>
        <v>46118</v>
      </c>
      <c r="F106" s="12">
        <f>+Precios!B104*Precios!B$3</f>
        <v>0</v>
      </c>
      <c r="G106" s="12">
        <f>+Precios!C104*Precios!C$3</f>
        <v>0</v>
      </c>
      <c r="H106" s="12">
        <f>+Precios!D104*Precios!D$3</f>
        <v>0</v>
      </c>
      <c r="I106" s="12">
        <f>+Precios!E104*Precios!E$3</f>
        <v>0</v>
      </c>
      <c r="J106" s="12">
        <f>+Precios!F104*Precios!F$3</f>
        <v>0</v>
      </c>
      <c r="K106" s="12">
        <f>+Precios!G104*Precios!G$3</f>
        <v>0</v>
      </c>
      <c r="L106" s="12">
        <f>+Precios!H104*Precios!H$3</f>
        <v>0</v>
      </c>
      <c r="M106" s="12">
        <f>+Precios!I104*Precios!I$3</f>
        <v>0</v>
      </c>
      <c r="N106" s="12">
        <f>+Precios!J104*Precios!J$3</f>
        <v>0</v>
      </c>
      <c r="O106" s="12">
        <f>+Precios!K104*Precios!K$3</f>
        <v>0</v>
      </c>
      <c r="P106" s="12">
        <f>+Precios!L104*Precios!L$3</f>
        <v>0</v>
      </c>
      <c r="Q106" s="12">
        <f>+Precios!M104*Precios!M$3</f>
        <v>0</v>
      </c>
      <c r="R106" s="12">
        <f>+Precios!N104*Precios!N$3</f>
        <v>0</v>
      </c>
      <c r="S106" s="12">
        <f>+Precios!O104*Precios!O$3</f>
        <v>0</v>
      </c>
      <c r="T106" s="12">
        <f>+Precios!P104*Precios!P$3</f>
        <v>0</v>
      </c>
      <c r="U106" s="12">
        <f>+Precios!Q104*Precios!Q$3</f>
        <v>0</v>
      </c>
      <c r="V106" s="12">
        <f>+Precios!R104*Precios!R$3</f>
        <v>0</v>
      </c>
      <c r="W106" s="12">
        <f>+Precios!S104*Precios!S$3</f>
        <v>0</v>
      </c>
      <c r="X106" s="12">
        <f>+Precios!T104*Precios!T$3</f>
        <v>0</v>
      </c>
      <c r="Y106" s="12">
        <f>+Precios!U104*Precios!U$3</f>
        <v>0</v>
      </c>
      <c r="Z106" s="12">
        <f>+Precios!V104*Precios!V$3</f>
        <v>0</v>
      </c>
      <c r="AA106" s="12">
        <f>+Precios!W104*Precios!W$3</f>
        <v>0</v>
      </c>
      <c r="AB106" s="12">
        <f>+Precios!X104*Precios!X$3</f>
        <v>0</v>
      </c>
      <c r="AC106" s="12">
        <f>+Precios!Y104*Precios!Y$3</f>
        <v>0</v>
      </c>
      <c r="AD106" s="12">
        <f>+Precios!Z104*Precios!Z$3</f>
        <v>0</v>
      </c>
      <c r="AE106" s="12">
        <f>+Precios!AA104*Precios!AA$3</f>
        <v>0</v>
      </c>
      <c r="AF106" s="12">
        <f>+Precios!AB104*Precios!AB$3</f>
        <v>0</v>
      </c>
      <c r="AG106" s="12">
        <f>+Precios!AC104*Precios!AC$3</f>
        <v>0</v>
      </c>
      <c r="AH106" s="12">
        <f>+Precios!AD104*Precios!AD$3</f>
        <v>0</v>
      </c>
      <c r="AI106" s="12">
        <f>+Precios!AE104*Precios!AE$3</f>
        <v>0</v>
      </c>
      <c r="AJ106" s="12">
        <f>+Precios!AF104*Precios!AF$3</f>
        <v>0</v>
      </c>
      <c r="AK106" s="12">
        <f>+Precios!AG104*Precios!AG$3</f>
        <v>0</v>
      </c>
      <c r="AL106" s="12">
        <f>+Precios!AH104*Precios!AH$3</f>
        <v>0</v>
      </c>
      <c r="AM106" s="12">
        <f>+Precios!AI104*Precios!AI$3</f>
        <v>0</v>
      </c>
      <c r="AN106" s="12">
        <f>+Precios!AJ104*Precios!AJ$3</f>
        <v>0</v>
      </c>
      <c r="AO106" s="12">
        <f>+Precios!AK104*Precios!AK$3</f>
        <v>0</v>
      </c>
      <c r="AP106" s="12">
        <f>+Precios!AL104*Precios!AL$3</f>
        <v>0</v>
      </c>
      <c r="AQ106" s="12">
        <f>+Precios!AM104*Precios!AM$3</f>
        <v>0</v>
      </c>
      <c r="AR106" s="12">
        <f>+Precios!AN104*Precios!AN$3</f>
        <v>0</v>
      </c>
      <c r="AS106" s="12">
        <f>+Precios!AO104*Precios!AO$3</f>
        <v>0</v>
      </c>
      <c r="AT106" s="12">
        <f>+Precios!AP104*Precios!AP$3</f>
        <v>0</v>
      </c>
      <c r="AU106" s="12">
        <f>+Precios!AQ104*Precios!AQ$3</f>
        <v>0</v>
      </c>
      <c r="AV106" s="12">
        <f>+Precios!AR104*Precios!AR$3</f>
        <v>0</v>
      </c>
      <c r="AW106" s="12">
        <f>+Precios!AS104*Precios!AS$3</f>
        <v>0</v>
      </c>
      <c r="AX106" s="12">
        <f>+Precios!AT104*Precios!AT$3</f>
        <v>0</v>
      </c>
      <c r="AY106" s="12">
        <f>+Precios!AU104*$AY$3</f>
        <v>60261.88</v>
      </c>
      <c r="AZ106" s="12">
        <f>+Precios!AV104*Precios!AV$3</f>
        <v>0</v>
      </c>
      <c r="BA106" s="12">
        <f>+Precios!AW104*Precios!AW$3</f>
        <v>0</v>
      </c>
      <c r="BB106" s="12">
        <f>+Precios!AX104*Precios!AX$3</f>
        <v>0</v>
      </c>
      <c r="BC106" s="12">
        <f>+Precios!AY104*Precios!AY$3</f>
        <v>0</v>
      </c>
      <c r="BD106" s="12">
        <f>+Precios!AZ104*Precios!AZ$3</f>
        <v>0</v>
      </c>
      <c r="BE106" s="12">
        <f>+Precios!BA104*Precios!BA$3</f>
        <v>0</v>
      </c>
      <c r="BF106" s="12">
        <f>+Precios!BB104*Precios!BB$3</f>
        <v>0</v>
      </c>
      <c r="BG106" s="12">
        <f>+Precios!BC104*Precios!BC$3</f>
        <v>0</v>
      </c>
      <c r="BH106" s="12">
        <f>+Precios!BD104*$BH$3</f>
        <v>65429.88</v>
      </c>
      <c r="BI106" s="12">
        <f>+Precios!BE104*Precios!BE$3</f>
        <v>0</v>
      </c>
      <c r="BJ106" s="12">
        <f>+Precios!BF104*Precios!BF$3</f>
        <v>51733.440000000002</v>
      </c>
      <c r="BK106" s="12">
        <f>+Precios!BG104*Precios!BG$3</f>
        <v>0</v>
      </c>
      <c r="BL106" s="12">
        <f>+Precios!BH104*Precios!BH$3</f>
        <v>0</v>
      </c>
      <c r="BM106" s="12">
        <f>+Precios!BI104*Precios!BI$3</f>
        <v>0</v>
      </c>
      <c r="BN106" s="12">
        <f>+Precios!BJ104*$BN$3</f>
        <v>57711.770000000004</v>
      </c>
      <c r="BO106" s="12">
        <f>+Precios!BK104*$BO$3</f>
        <v>54714.45</v>
      </c>
      <c r="BP106" s="12">
        <f>+Precios!BL104*Precios!BL$3</f>
        <v>0</v>
      </c>
      <c r="BQ106" s="12">
        <f>+Precios!BM104*Precios!BM$3</f>
        <v>49116.9</v>
      </c>
      <c r="BR106" s="12">
        <f>+Precios!BN104*$BR$3</f>
        <v>59316.960000000006</v>
      </c>
      <c r="BS106" s="12">
        <f>+Precios!BO104*Precios!BO$3</f>
        <v>0</v>
      </c>
      <c r="BT106" s="12">
        <f>+Precios!BP104*$BT$3</f>
        <v>50428.65</v>
      </c>
      <c r="BU106" s="12">
        <f>+Precios!BQ104*$BU$3</f>
        <v>51185.350000000006</v>
      </c>
      <c r="BV106" s="12">
        <f>+Precios!BR104*$BV$3</f>
        <v>0</v>
      </c>
      <c r="BW106" s="12">
        <f>+Precios!BS104*Precios!BS$3</f>
        <v>0</v>
      </c>
      <c r="BX106" s="12">
        <f>+Precios!BT104*Precios!BT$3</f>
        <v>0</v>
      </c>
      <c r="BY106" s="12">
        <f>+Precios!BU104*Precios!BU$3</f>
        <v>0</v>
      </c>
    </row>
    <row r="107" spans="1:77" ht="15" thickBot="1">
      <c r="A107" s="5">
        <f>+SUM(F107:XFD107)</f>
        <v>502005.32000000007</v>
      </c>
      <c r="B107" s="26">
        <f>+TRACK!M60</f>
        <v>-4159.9999999999964</v>
      </c>
      <c r="C107" s="5">
        <f t="shared" si="1"/>
        <v>29782.279999999988</v>
      </c>
      <c r="D107" s="5">
        <f>1000000+C107-Cost!A107</f>
        <v>529828.01</v>
      </c>
      <c r="E107" s="15">
        <f>+Precios!A105</f>
        <v>46119</v>
      </c>
      <c r="F107" s="12">
        <f>+Precios!B105*Precios!B$3</f>
        <v>0</v>
      </c>
      <c r="G107" s="12">
        <f>+Precios!C105*Precios!C$3</f>
        <v>0</v>
      </c>
      <c r="H107" s="12">
        <f>+Precios!D105*Precios!D$3</f>
        <v>0</v>
      </c>
      <c r="I107" s="12">
        <f>+Precios!E105*Precios!E$3</f>
        <v>0</v>
      </c>
      <c r="J107" s="12">
        <f>+Precios!F105*Precios!F$3</f>
        <v>0</v>
      </c>
      <c r="K107" s="12">
        <f>+Precios!G105*Precios!G$3</f>
        <v>0</v>
      </c>
      <c r="L107" s="12">
        <f>+Precios!H105*Precios!H$3</f>
        <v>0</v>
      </c>
      <c r="M107" s="12">
        <f>+Precios!I105*Precios!I$3</f>
        <v>0</v>
      </c>
      <c r="N107" s="12">
        <f>+Precios!J105*Precios!J$3</f>
        <v>0</v>
      </c>
      <c r="O107" s="12">
        <f>+Precios!K105*Precios!K$3</f>
        <v>0</v>
      </c>
      <c r="P107" s="12">
        <f>+Precios!L105*Precios!L$3</f>
        <v>0</v>
      </c>
      <c r="Q107" s="12">
        <f>+Precios!M105*Precios!M$3</f>
        <v>0</v>
      </c>
      <c r="R107" s="12">
        <f>+Precios!N105*Precios!N$3</f>
        <v>0</v>
      </c>
      <c r="S107" s="12">
        <f>+Precios!O105*Precios!O$3</f>
        <v>0</v>
      </c>
      <c r="T107" s="12">
        <f>+Precios!P105*Precios!P$3</f>
        <v>0</v>
      </c>
      <c r="U107" s="12">
        <f>+Precios!Q105*Precios!Q$3</f>
        <v>0</v>
      </c>
      <c r="V107" s="12">
        <f>+Precios!R105*Precios!R$3</f>
        <v>0</v>
      </c>
      <c r="W107" s="12">
        <f>+Precios!S105*Precios!S$3</f>
        <v>0</v>
      </c>
      <c r="X107" s="12">
        <f>+Precios!T105*Precios!T$3</f>
        <v>0</v>
      </c>
      <c r="Y107" s="12">
        <f>+Precios!U105*Precios!U$3</f>
        <v>0</v>
      </c>
      <c r="Z107" s="12">
        <f>+Precios!V105*Precios!V$3</f>
        <v>0</v>
      </c>
      <c r="AA107" s="12">
        <f>+Precios!W105*Precios!W$3</f>
        <v>0</v>
      </c>
      <c r="AB107" s="12">
        <f>+Precios!X105*Precios!X$3</f>
        <v>0</v>
      </c>
      <c r="AC107" s="12">
        <f>+Precios!Y105*Precios!Y$3</f>
        <v>0</v>
      </c>
      <c r="AD107" s="12">
        <f>+Precios!Z105*Precios!Z$3</f>
        <v>0</v>
      </c>
      <c r="AE107" s="12">
        <f>+Precios!AA105*Precios!AA$3</f>
        <v>0</v>
      </c>
      <c r="AF107" s="12">
        <f>+Precios!AB105*Precios!AB$3</f>
        <v>0</v>
      </c>
      <c r="AG107" s="12">
        <f>+Precios!AC105*Precios!AC$3</f>
        <v>0</v>
      </c>
      <c r="AH107" s="12">
        <f>+Precios!AD105*Precios!AD$3</f>
        <v>0</v>
      </c>
      <c r="AI107" s="12">
        <f>+Precios!AE105*Precios!AE$3</f>
        <v>0</v>
      </c>
      <c r="AJ107" s="12">
        <f>+Precios!AF105*Precios!AF$3</f>
        <v>0</v>
      </c>
      <c r="AK107" s="12">
        <f>+Precios!AG105*Precios!AG$3</f>
        <v>0</v>
      </c>
      <c r="AL107" s="12">
        <f>+Precios!AH105*Precios!AH$3</f>
        <v>0</v>
      </c>
      <c r="AM107" s="12">
        <f>+Precios!AI105*Precios!AI$3</f>
        <v>0</v>
      </c>
      <c r="AN107" s="12">
        <f>+Precios!AJ105*Precios!AJ$3</f>
        <v>0</v>
      </c>
      <c r="AO107" s="12">
        <f>+Precios!AK105*Precios!AK$3</f>
        <v>0</v>
      </c>
      <c r="AP107" s="12">
        <f>+Precios!AL105*Precios!AL$3</f>
        <v>0</v>
      </c>
      <c r="AQ107" s="12">
        <f>+Precios!AM105*Precios!AM$3</f>
        <v>0</v>
      </c>
      <c r="AR107" s="12">
        <f>+Precios!AN105*Precios!AN$3</f>
        <v>0</v>
      </c>
      <c r="AS107" s="12">
        <f>+Precios!AO105*Precios!AO$3</f>
        <v>0</v>
      </c>
      <c r="AT107" s="12">
        <f>+Precios!AP105*Precios!AP$3</f>
        <v>0</v>
      </c>
      <c r="AU107" s="12">
        <f>+Precios!AQ105*Precios!AQ$3</f>
        <v>0</v>
      </c>
      <c r="AV107" s="12">
        <f>+Precios!AR105*Precios!AR$3</f>
        <v>0</v>
      </c>
      <c r="AW107" s="12">
        <f>+Precios!AS105*Precios!AS$3</f>
        <v>0</v>
      </c>
      <c r="AX107" s="12">
        <f>+Precios!AT105*Precios!AT$3</f>
        <v>0</v>
      </c>
      <c r="AY107" s="12">
        <f>+Precios!AU105*$AY$3</f>
        <v>60019.54</v>
      </c>
      <c r="AZ107" s="12">
        <f>+Precios!AV105*Precios!AV$3</f>
        <v>0</v>
      </c>
      <c r="BA107" s="12">
        <f>+Precios!AW105*Precios!AW$3</f>
        <v>0</v>
      </c>
      <c r="BB107" s="12">
        <f>+Precios!AX105*Precios!AX$3</f>
        <v>0</v>
      </c>
      <c r="BC107" s="12">
        <f>+Precios!AY105*Precios!AY$3</f>
        <v>0</v>
      </c>
      <c r="BD107" s="12">
        <f>+Precios!AZ105*Precios!AZ$3</f>
        <v>0</v>
      </c>
      <c r="BE107" s="12">
        <f>+Precios!BA105*Precios!BA$3</f>
        <v>0</v>
      </c>
      <c r="BF107" s="12">
        <f>+Precios!BB105*Precios!BB$3</f>
        <v>0</v>
      </c>
      <c r="BG107" s="12">
        <f>+Precios!BC105*Precios!BC$3</f>
        <v>0</v>
      </c>
      <c r="BH107" s="12">
        <f>+Precios!BD105*$BH$3</f>
        <v>63001.26</v>
      </c>
      <c r="BI107" s="12">
        <f>+Precios!BE105*Precios!BE$3</f>
        <v>0</v>
      </c>
      <c r="BJ107" s="12">
        <f>+Precios!BF105*Precios!BF$3</f>
        <v>52207.009999999995</v>
      </c>
      <c r="BK107" s="12">
        <f>+Precios!BG105*Precios!BG$3</f>
        <v>0</v>
      </c>
      <c r="BL107" s="12">
        <f>+Precios!BH105*Precios!BH$3</f>
        <v>0</v>
      </c>
      <c r="BM107" s="12">
        <f>+Precios!BI105*Precios!BI$3</f>
        <v>0</v>
      </c>
      <c r="BN107" s="12">
        <f>+Precios!BJ105*$BN$3</f>
        <v>57643.259999999995</v>
      </c>
      <c r="BO107" s="12">
        <f>+Precios!BK105*$BO$3</f>
        <v>54698.400000000001</v>
      </c>
      <c r="BP107" s="12">
        <f>+Precios!BL105*Precios!BL$3</f>
        <v>0</v>
      </c>
      <c r="BQ107" s="12">
        <f>+Precios!BM105*Precios!BM$3</f>
        <v>50040.15</v>
      </c>
      <c r="BR107" s="12">
        <f>+Precios!BN105*$BR$3</f>
        <v>58825.24</v>
      </c>
      <c r="BS107" s="12">
        <f>+Precios!BO105*Precios!BO$3</f>
        <v>0</v>
      </c>
      <c r="BT107" s="12">
        <f>+Precios!BP105*$BT$3</f>
        <v>53736.51</v>
      </c>
      <c r="BU107" s="12">
        <f>+Precios!BQ105*$BU$3</f>
        <v>51833.95</v>
      </c>
      <c r="BV107" s="12">
        <f>+Precios!BR105*$BV$3</f>
        <v>0</v>
      </c>
      <c r="BW107" s="12">
        <f>+Precios!BS105*Precios!BS$3</f>
        <v>0</v>
      </c>
      <c r="BX107" s="12">
        <f>+Precios!BT105*Precios!BT$3</f>
        <v>0</v>
      </c>
      <c r="BY107" s="12">
        <f>+Precios!BU105*Precios!BU$3</f>
        <v>0</v>
      </c>
    </row>
    <row r="108" spans="1:77" ht="15" thickBot="1">
      <c r="A108" s="5">
        <f>+SUM(F108:XFD108)</f>
        <v>514833.57999999996</v>
      </c>
      <c r="B108" s="26"/>
      <c r="C108" s="5">
        <f t="shared" si="1"/>
        <v>29782.279999999988</v>
      </c>
      <c r="D108" s="5">
        <f>1000000+C108-Cost!A108</f>
        <v>579828.01</v>
      </c>
      <c r="E108" s="15">
        <f>+Precios!A106</f>
        <v>46120</v>
      </c>
      <c r="F108" s="12">
        <f>+Precios!B106*Precios!B$3</f>
        <v>0</v>
      </c>
      <c r="G108" s="12">
        <f>+Precios!C106*Precios!C$3</f>
        <v>0</v>
      </c>
      <c r="H108" s="12">
        <f>+Precios!D106*Precios!D$3</f>
        <v>0</v>
      </c>
      <c r="I108" s="12">
        <f>+Precios!E106*Precios!E$3</f>
        <v>0</v>
      </c>
      <c r="J108" s="12">
        <f>+Precios!F106*Precios!F$3</f>
        <v>0</v>
      </c>
      <c r="K108" s="12">
        <f>+Precios!G106*Precios!G$3</f>
        <v>0</v>
      </c>
      <c r="L108" s="12">
        <f>+Precios!H106*Precios!H$3</f>
        <v>0</v>
      </c>
      <c r="M108" s="12">
        <f>+Precios!I106*Precios!I$3</f>
        <v>0</v>
      </c>
      <c r="N108" s="12">
        <f>+Precios!J106*Precios!J$3</f>
        <v>0</v>
      </c>
      <c r="O108" s="12">
        <f>+Precios!K106*Precios!K$3</f>
        <v>0</v>
      </c>
      <c r="P108" s="12">
        <f>+Precios!L106*Precios!L$3</f>
        <v>0</v>
      </c>
      <c r="Q108" s="12">
        <f>+Precios!M106*Precios!M$3</f>
        <v>0</v>
      </c>
      <c r="R108" s="12">
        <f>+Precios!N106*Precios!N$3</f>
        <v>0</v>
      </c>
      <c r="S108" s="12">
        <f>+Precios!O106*Precios!O$3</f>
        <v>0</v>
      </c>
      <c r="T108" s="12">
        <f>+Precios!P106*Precios!P$3</f>
        <v>0</v>
      </c>
      <c r="U108" s="12">
        <f>+Precios!Q106*Precios!Q$3</f>
        <v>0</v>
      </c>
      <c r="V108" s="12">
        <f>+Precios!R106*Precios!R$3</f>
        <v>0</v>
      </c>
      <c r="W108" s="12">
        <f>+Precios!S106*Precios!S$3</f>
        <v>0</v>
      </c>
      <c r="X108" s="12">
        <f>+Precios!T106*Precios!T$3</f>
        <v>0</v>
      </c>
      <c r="Y108" s="12">
        <f>+Precios!U106*Precios!U$3</f>
        <v>0</v>
      </c>
      <c r="Z108" s="12">
        <f>+Precios!V106*Precios!V$3</f>
        <v>0</v>
      </c>
      <c r="AA108" s="12">
        <f>+Precios!W106*Precios!W$3</f>
        <v>0</v>
      </c>
      <c r="AB108" s="12">
        <f>+Precios!X106*Precios!X$3</f>
        <v>0</v>
      </c>
      <c r="AC108" s="12">
        <f>+Precios!Y106*Precios!Y$3</f>
        <v>0</v>
      </c>
      <c r="AD108" s="12">
        <f>+Precios!Z106*Precios!Z$3</f>
        <v>0</v>
      </c>
      <c r="AE108" s="12">
        <f>+Precios!AA106*Precios!AA$3</f>
        <v>0</v>
      </c>
      <c r="AF108" s="12">
        <f>+Precios!AB106*Precios!AB$3</f>
        <v>0</v>
      </c>
      <c r="AG108" s="12">
        <f>+Precios!AC106*Precios!AC$3</f>
        <v>0</v>
      </c>
      <c r="AH108" s="12">
        <f>+Precios!AD106*Precios!AD$3</f>
        <v>0</v>
      </c>
      <c r="AI108" s="12">
        <f>+Precios!AE106*Precios!AE$3</f>
        <v>0</v>
      </c>
      <c r="AJ108" s="12">
        <f>+Precios!AF106*Precios!AF$3</f>
        <v>0</v>
      </c>
      <c r="AK108" s="12">
        <f>+Precios!AG106*Precios!AG$3</f>
        <v>0</v>
      </c>
      <c r="AL108" s="12">
        <f>+Precios!AH106*Precios!AH$3</f>
        <v>0</v>
      </c>
      <c r="AM108" s="12">
        <f>+Precios!AI106*Precios!AI$3</f>
        <v>0</v>
      </c>
      <c r="AN108" s="12">
        <f>+Precios!AJ106*Precios!AJ$3</f>
        <v>0</v>
      </c>
      <c r="AO108" s="12">
        <f>+Precios!AK106*Precios!AK$3</f>
        <v>0</v>
      </c>
      <c r="AP108" s="12">
        <f>+Precios!AL106*Precios!AL$3</f>
        <v>0</v>
      </c>
      <c r="AQ108" s="12">
        <f>+Precios!AM106*Precios!AM$3</f>
        <v>0</v>
      </c>
      <c r="AR108" s="12">
        <f>+Precios!AN106*Precios!AN$3</f>
        <v>0</v>
      </c>
      <c r="AS108" s="12">
        <f>+Precios!AO106*Precios!AO$3</f>
        <v>0</v>
      </c>
      <c r="AT108" s="12">
        <f>+Precios!AP106*Precios!AP$3</f>
        <v>0</v>
      </c>
      <c r="AU108" s="12">
        <f>+Precios!AQ106*Precios!AQ$3</f>
        <v>0</v>
      </c>
      <c r="AV108" s="12">
        <f>+Precios!AR106*Precios!AR$3</f>
        <v>0</v>
      </c>
      <c r="AW108" s="12">
        <f>+Precios!AS106*Precios!AS$3</f>
        <v>0</v>
      </c>
      <c r="AX108" s="12">
        <f>+Precios!AT106*Precios!AT$3</f>
        <v>0</v>
      </c>
      <c r="AY108" s="12">
        <f>+Precios!AU106*$AY$3</f>
        <v>60423.44</v>
      </c>
      <c r="AZ108" s="12">
        <f>+Precios!AV106*Precios!AV$3</f>
        <v>0</v>
      </c>
      <c r="BA108" s="12">
        <f>+Precios!AW106*Precios!AW$3</f>
        <v>0</v>
      </c>
      <c r="BB108" s="12">
        <f>+Precios!AX106*Precios!AX$3</f>
        <v>0</v>
      </c>
      <c r="BC108" s="12">
        <f>+Precios!AY106*Precios!AY$3</f>
        <v>0</v>
      </c>
      <c r="BD108" s="12">
        <f>+Precios!AZ106*Precios!AZ$3</f>
        <v>0</v>
      </c>
      <c r="BE108" s="12">
        <f>+Precios!BA106*Precios!BA$3</f>
        <v>0</v>
      </c>
      <c r="BF108" s="12">
        <f>+Precios!BB106*Precios!BB$3</f>
        <v>0</v>
      </c>
      <c r="BG108" s="12">
        <f>+Precios!BC106*Precios!BC$3</f>
        <v>0</v>
      </c>
      <c r="BH108" s="12">
        <f>+Precios!BD106*$BH$3</f>
        <v>62429.82</v>
      </c>
      <c r="BI108" s="12">
        <f>+Precios!BE106*Precios!BE$3</f>
        <v>0</v>
      </c>
      <c r="BJ108" s="12">
        <f>+Precios!BF106*Precios!BF$3</f>
        <v>51602.8</v>
      </c>
      <c r="BK108" s="12">
        <f>+Precios!BG106*Precios!BG$3</f>
        <v>0</v>
      </c>
      <c r="BL108" s="12">
        <f>+Precios!BH106*Precios!BH$3</f>
        <v>0</v>
      </c>
      <c r="BM108" s="12">
        <f>+Precios!BI106*Precios!BI$3</f>
        <v>0</v>
      </c>
      <c r="BN108" s="12">
        <f>+Precios!BJ106*$BN$3</f>
        <v>60315.15</v>
      </c>
      <c r="BO108" s="12">
        <f>+Precios!BK106*$BO$3</f>
        <v>56910.09</v>
      </c>
      <c r="BP108" s="12">
        <f>+Precios!BL106*Precios!BL$3</f>
        <v>0</v>
      </c>
      <c r="BQ108" s="12">
        <f>+Precios!BM106*Precios!BM$3</f>
        <v>51221.909999999996</v>
      </c>
      <c r="BR108" s="12">
        <f>+Precios!BN106*$BR$3</f>
        <v>60533.32</v>
      </c>
      <c r="BS108" s="12">
        <f>+Precios!BO106*Precios!BO$3</f>
        <v>0</v>
      </c>
      <c r="BT108" s="12">
        <f>+Precios!BP106*$BT$3</f>
        <v>58536.15</v>
      </c>
      <c r="BU108" s="12">
        <f>+Precios!BQ106*$BU$3</f>
        <v>52860.899999999994</v>
      </c>
      <c r="BV108" s="12">
        <f>+Precios!BR106*$BV$3</f>
        <v>0</v>
      </c>
      <c r="BW108" s="12">
        <f>+Precios!BS106*Precios!BS$3</f>
        <v>0</v>
      </c>
      <c r="BX108" s="12">
        <f>+Precios!BT106*Precios!BT$3</f>
        <v>0</v>
      </c>
      <c r="BY108" s="12">
        <f>+Precios!BU106*Precios!BU$3</f>
        <v>0</v>
      </c>
    </row>
    <row r="109" spans="1:77" ht="15" thickBot="1">
      <c r="A109" s="5">
        <f>+SUM(F109:XFD109)</f>
        <v>575710.5199999999</v>
      </c>
      <c r="B109" s="26"/>
      <c r="C109" s="5">
        <f t="shared" si="1"/>
        <v>29782.279999999988</v>
      </c>
      <c r="D109" s="5">
        <f>1000000+C109-Cost!A109</f>
        <v>529828.01</v>
      </c>
      <c r="E109" s="15">
        <f>+Precios!A107</f>
        <v>46121</v>
      </c>
      <c r="F109" s="12">
        <f>+Precios!B107*Precios!B$3</f>
        <v>0</v>
      </c>
      <c r="G109" s="12">
        <f>+Precios!C107*Precios!C$3</f>
        <v>0</v>
      </c>
      <c r="H109" s="12">
        <f>+Precios!D107*Precios!D$3</f>
        <v>0</v>
      </c>
      <c r="I109" s="12">
        <f>+Precios!E107*Precios!E$3</f>
        <v>0</v>
      </c>
      <c r="J109" s="12">
        <f>+Precios!F107*Precios!F$3</f>
        <v>0</v>
      </c>
      <c r="K109" s="12">
        <f>+Precios!G107*Precios!G$3</f>
        <v>0</v>
      </c>
      <c r="L109" s="12">
        <f>+Precios!H107*Precios!H$3</f>
        <v>0</v>
      </c>
      <c r="M109" s="12">
        <f>+Precios!I107*Precios!I$3</f>
        <v>0</v>
      </c>
      <c r="N109" s="12">
        <f>+Precios!J107*Precios!J$3</f>
        <v>0</v>
      </c>
      <c r="O109" s="12">
        <f>+Precios!K107*Precios!K$3</f>
        <v>0</v>
      </c>
      <c r="P109" s="12">
        <f>+Precios!L107*Precios!L$3</f>
        <v>0</v>
      </c>
      <c r="Q109" s="12">
        <f>+Precios!M107*Precios!M$3</f>
        <v>0</v>
      </c>
      <c r="R109" s="12">
        <f>+Precios!N107*Precios!N$3</f>
        <v>0</v>
      </c>
      <c r="S109" s="12">
        <f>+Precios!O107*Precios!O$3</f>
        <v>0</v>
      </c>
      <c r="T109" s="12">
        <f>+Precios!P107*Precios!P$3</f>
        <v>0</v>
      </c>
      <c r="U109" s="12">
        <f>+Precios!Q107*Precios!Q$3</f>
        <v>0</v>
      </c>
      <c r="V109" s="12">
        <f>+Precios!R107*Precios!R$3</f>
        <v>0</v>
      </c>
      <c r="W109" s="12">
        <f>+Precios!S107*Precios!S$3</f>
        <v>0</v>
      </c>
      <c r="X109" s="12">
        <f>+Precios!T107*Precios!T$3</f>
        <v>0</v>
      </c>
      <c r="Y109" s="12">
        <f>+Precios!U107*Precios!U$3</f>
        <v>0</v>
      </c>
      <c r="Z109" s="12">
        <f>+Precios!V107*Precios!V$3</f>
        <v>0</v>
      </c>
      <c r="AA109" s="12">
        <f>+Precios!W107*Precios!W$3</f>
        <v>0</v>
      </c>
      <c r="AB109" s="12">
        <f>+Precios!X107*Precios!X$3</f>
        <v>0</v>
      </c>
      <c r="AC109" s="12">
        <f>+Precios!Y107*Precios!Y$3</f>
        <v>0</v>
      </c>
      <c r="AD109" s="12">
        <f>+Precios!Z107*Precios!Z$3</f>
        <v>0</v>
      </c>
      <c r="AE109" s="12">
        <f>+Precios!AA107*Precios!AA$3</f>
        <v>0</v>
      </c>
      <c r="AF109" s="12">
        <f>+Precios!AB107*Precios!AB$3</f>
        <v>0</v>
      </c>
      <c r="AG109" s="12">
        <f>+Precios!AC107*Precios!AC$3</f>
        <v>0</v>
      </c>
      <c r="AH109" s="12">
        <f>+Precios!AD107*Precios!AD$3</f>
        <v>0</v>
      </c>
      <c r="AI109" s="12">
        <f>+Precios!AE107*Precios!AE$3</f>
        <v>0</v>
      </c>
      <c r="AJ109" s="12">
        <f>+Precios!AF107*Precios!AF$3</f>
        <v>0</v>
      </c>
      <c r="AK109" s="12">
        <f>+Precios!AG107*Precios!AG$3</f>
        <v>0</v>
      </c>
      <c r="AL109" s="12">
        <f>+Precios!AH107*Precios!AH$3</f>
        <v>0</v>
      </c>
      <c r="AM109" s="12">
        <f>+Precios!AI107*Precios!AI$3</f>
        <v>0</v>
      </c>
      <c r="AN109" s="12">
        <f>+Precios!AJ107*Precios!AJ$3</f>
        <v>0</v>
      </c>
      <c r="AO109" s="12">
        <f>+Precios!AK107*Precios!AK$3</f>
        <v>0</v>
      </c>
      <c r="AP109" s="12">
        <f>+Precios!AL107*Precios!AL$3</f>
        <v>0</v>
      </c>
      <c r="AQ109" s="12">
        <f>+Precios!AM107*Precios!AM$3</f>
        <v>0</v>
      </c>
      <c r="AR109" s="12">
        <f>+Precios!AN107*Precios!AN$3</f>
        <v>0</v>
      </c>
      <c r="AS109" s="12">
        <f>+Precios!AO107*Precios!AO$3</f>
        <v>0</v>
      </c>
      <c r="AT109" s="12">
        <f>+Precios!AP107*Precios!AP$3</f>
        <v>0</v>
      </c>
      <c r="AU109" s="12">
        <f>+Precios!AQ107*Precios!AQ$3</f>
        <v>0</v>
      </c>
      <c r="AV109" s="12">
        <f>+Precios!AR107*Precios!AR$3</f>
        <v>0</v>
      </c>
      <c r="AW109" s="12">
        <f>+Precios!AS107*Precios!AS$3</f>
        <v>0</v>
      </c>
      <c r="AX109" s="12">
        <f>+Precios!AT107*Precios!AT$3</f>
        <v>0</v>
      </c>
      <c r="AY109" s="12">
        <f>+Precios!AU107*$AY$3</f>
        <v>61433.19</v>
      </c>
      <c r="AZ109" s="12">
        <f>+Precios!AV107*Precios!AV$3</f>
        <v>0</v>
      </c>
      <c r="BA109" s="12">
        <f>+Precios!AW107*Precios!AW$3</f>
        <v>0</v>
      </c>
      <c r="BB109" s="12">
        <f>+Precios!AX107*Precios!AX$3</f>
        <v>0</v>
      </c>
      <c r="BC109" s="12">
        <f>+Precios!AY107*Precios!AY$3</f>
        <v>0</v>
      </c>
      <c r="BD109" s="12">
        <f>+Precios!AZ107*Precios!AZ$3</f>
        <v>0</v>
      </c>
      <c r="BE109" s="12">
        <f>+Precios!BA107*Precios!BA$3</f>
        <v>0</v>
      </c>
      <c r="BF109" s="12">
        <f>+Precios!BB107*Precios!BB$3</f>
        <v>0</v>
      </c>
      <c r="BG109" s="12">
        <f>+Precios!BC107*Precios!BC$3</f>
        <v>0</v>
      </c>
      <c r="BH109" s="12">
        <f>+Precios!BD107*$BH$3</f>
        <v>69572.820000000007</v>
      </c>
      <c r="BI109" s="12">
        <f>+Precios!BE107*Precios!BE$3</f>
        <v>0</v>
      </c>
      <c r="BJ109" s="12">
        <f>+Precios!BF107*Precios!BF$3</f>
        <v>51619.13</v>
      </c>
      <c r="BK109" s="12">
        <f>+Precios!BG107*Precios!BG$3</f>
        <v>0</v>
      </c>
      <c r="BL109" s="12">
        <f>+Precios!BH107*Precios!BH$3</f>
        <v>0</v>
      </c>
      <c r="BM109" s="12">
        <f>+Precios!BI107*Precios!BI$3</f>
        <v>0</v>
      </c>
      <c r="BN109" s="12">
        <f>+Precios!BJ107*$BN$3</f>
        <v>63203.11</v>
      </c>
      <c r="BO109" s="12">
        <f>+Precios!BK107*$BO$3</f>
        <v>58492.62</v>
      </c>
      <c r="BP109" s="12">
        <f>+Precios!BL107*Precios!BL$3</f>
        <v>0</v>
      </c>
      <c r="BQ109" s="12">
        <f>+Precios!BM107*Precios!BM$3</f>
        <v>51074.19</v>
      </c>
      <c r="BR109" s="12">
        <f>+Precios!BN107*$BR$3</f>
        <v>56858.36</v>
      </c>
      <c r="BS109" s="12">
        <f>+Precios!BO107*Precios!BO$3</f>
        <v>0</v>
      </c>
      <c r="BT109" s="12">
        <f>+Precios!BP107*$BT$3</f>
        <v>61714.29</v>
      </c>
      <c r="BU109" s="12">
        <f>+Precios!BQ107*$BU$3</f>
        <v>53455.450000000004</v>
      </c>
      <c r="BV109" s="12">
        <f>+Precios!BR107*$BV$3</f>
        <v>48287.360000000001</v>
      </c>
      <c r="BW109" s="12">
        <f>+Precios!BS107*Precios!BS$3</f>
        <v>0</v>
      </c>
      <c r="BX109" s="12">
        <f>+Precios!BT107*Precios!BT$3</f>
        <v>0</v>
      </c>
      <c r="BY109" s="12">
        <f>+Precios!BU107*Precios!BU$3</f>
        <v>0</v>
      </c>
    </row>
    <row r="110" spans="1:77" ht="15" thickBot="1">
      <c r="A110" s="5">
        <f>+SUM(F110:XFD110)</f>
        <v>629830.00000000023</v>
      </c>
      <c r="B110" s="26"/>
      <c r="C110" s="5">
        <f t="shared" si="1"/>
        <v>29782.279999999988</v>
      </c>
      <c r="D110" s="5">
        <f>1000000+C110-Cost!A110</f>
        <v>479828.01</v>
      </c>
      <c r="E110" s="15">
        <f>+Precios!A108</f>
        <v>46122</v>
      </c>
      <c r="F110" s="12">
        <f>+Precios!B108*Precios!B$3</f>
        <v>0</v>
      </c>
      <c r="G110" s="12">
        <f>+Precios!C108*Precios!C$3</f>
        <v>0</v>
      </c>
      <c r="H110" s="12">
        <f>+Precios!D108*Precios!D$3</f>
        <v>0</v>
      </c>
      <c r="I110" s="12">
        <f>+Precios!E108*Precios!E$3</f>
        <v>0</v>
      </c>
      <c r="J110" s="12">
        <f>+Precios!F108*Precios!F$3</f>
        <v>0</v>
      </c>
      <c r="K110" s="12">
        <f>+Precios!G108*Precios!G$3</f>
        <v>0</v>
      </c>
      <c r="L110" s="12">
        <f>+Precios!H108*Precios!H$3</f>
        <v>0</v>
      </c>
      <c r="M110" s="12">
        <f>+Precios!I108*Precios!I$3</f>
        <v>0</v>
      </c>
      <c r="N110" s="12">
        <f>+Precios!J108*Precios!J$3</f>
        <v>0</v>
      </c>
      <c r="O110" s="12">
        <f>+Precios!K108*Precios!K$3</f>
        <v>0</v>
      </c>
      <c r="P110" s="12">
        <f>+Precios!L108*Precios!L$3</f>
        <v>0</v>
      </c>
      <c r="Q110" s="12">
        <f>+Precios!M108*Precios!M$3</f>
        <v>0</v>
      </c>
      <c r="R110" s="12">
        <f>+Precios!N108*Precios!N$3</f>
        <v>0</v>
      </c>
      <c r="S110" s="12">
        <f>+Precios!O108*Precios!O$3</f>
        <v>0</v>
      </c>
      <c r="T110" s="12">
        <f>+Precios!P108*Precios!P$3</f>
        <v>0</v>
      </c>
      <c r="U110" s="12">
        <f>+Precios!Q108*Precios!Q$3</f>
        <v>0</v>
      </c>
      <c r="V110" s="12">
        <f>+Precios!R108*Precios!R$3</f>
        <v>0</v>
      </c>
      <c r="W110" s="12">
        <f>+Precios!S108*Precios!S$3</f>
        <v>0</v>
      </c>
      <c r="X110" s="12">
        <f>+Precios!T108*Precios!T$3</f>
        <v>0</v>
      </c>
      <c r="Y110" s="12">
        <f>+Precios!U108*Precios!U$3</f>
        <v>0</v>
      </c>
      <c r="Z110" s="12">
        <f>+Precios!V108*Precios!V$3</f>
        <v>0</v>
      </c>
      <c r="AA110" s="12">
        <f>+Precios!W108*Precios!W$3</f>
        <v>0</v>
      </c>
      <c r="AB110" s="12">
        <f>+Precios!X108*Precios!X$3</f>
        <v>0</v>
      </c>
      <c r="AC110" s="12">
        <f>+Precios!Y108*Precios!Y$3</f>
        <v>0</v>
      </c>
      <c r="AD110" s="12">
        <f>+Precios!Z108*Precios!Z$3</f>
        <v>0</v>
      </c>
      <c r="AE110" s="12">
        <f>+Precios!AA108*Precios!AA$3</f>
        <v>0</v>
      </c>
      <c r="AF110" s="12">
        <f>+Precios!AB108*Precios!AB$3</f>
        <v>0</v>
      </c>
      <c r="AG110" s="12">
        <f>+Precios!AC108*Precios!AC$3</f>
        <v>0</v>
      </c>
      <c r="AH110" s="12">
        <f>+Precios!AD108*Precios!AD$3</f>
        <v>0</v>
      </c>
      <c r="AI110" s="12">
        <f>+Precios!AE108*Precios!AE$3</f>
        <v>0</v>
      </c>
      <c r="AJ110" s="12">
        <f>+Precios!AF108*Precios!AF$3</f>
        <v>0</v>
      </c>
      <c r="AK110" s="12">
        <f>+Precios!AG108*Precios!AG$3</f>
        <v>0</v>
      </c>
      <c r="AL110" s="12">
        <f>+Precios!AH108*Precios!AH$3</f>
        <v>0</v>
      </c>
      <c r="AM110" s="12">
        <f>+Precios!AI108*Precios!AI$3</f>
        <v>0</v>
      </c>
      <c r="AN110" s="12">
        <f>+Precios!AJ108*Precios!AJ$3</f>
        <v>0</v>
      </c>
      <c r="AO110" s="12">
        <f>+Precios!AK108*Precios!AK$3</f>
        <v>0</v>
      </c>
      <c r="AP110" s="12">
        <f>+Precios!AL108*Precios!AL$3</f>
        <v>0</v>
      </c>
      <c r="AQ110" s="12">
        <f>+Precios!AM108*Precios!AM$3</f>
        <v>0</v>
      </c>
      <c r="AR110" s="12">
        <f>+Precios!AN108*Precios!AN$3</f>
        <v>0</v>
      </c>
      <c r="AS110" s="12">
        <f>+Precios!AO108*Precios!AO$3</f>
        <v>0</v>
      </c>
      <c r="AT110" s="12">
        <f>+Precios!AP108*Precios!AP$3</f>
        <v>0</v>
      </c>
      <c r="AU110" s="12">
        <f>+Precios!AQ108*Precios!AQ$3</f>
        <v>0</v>
      </c>
      <c r="AV110" s="12">
        <f>+Precios!AR108*Precios!AR$3</f>
        <v>0</v>
      </c>
      <c r="AW110" s="12">
        <f>+Precios!AS108*Precios!AS$3</f>
        <v>0</v>
      </c>
      <c r="AX110" s="12">
        <f>+Precios!AT108*Precios!AT$3</f>
        <v>0</v>
      </c>
      <c r="AY110" s="12">
        <f>+Precios!AU108*$AY$3</f>
        <v>58727.06</v>
      </c>
      <c r="AZ110" s="12">
        <f>+Precios!AV108*Precios!AV$3</f>
        <v>0</v>
      </c>
      <c r="BA110" s="12">
        <f>+Precios!AW108*Precios!AW$3</f>
        <v>0</v>
      </c>
      <c r="BB110" s="12">
        <f>+Precios!AX108*Precios!AX$3</f>
        <v>0</v>
      </c>
      <c r="BC110" s="12">
        <f>+Precios!AY108*Precios!AY$3</f>
        <v>0</v>
      </c>
      <c r="BD110" s="12">
        <f>+Precios!AZ108*Precios!AZ$3</f>
        <v>0</v>
      </c>
      <c r="BE110" s="12">
        <f>+Precios!BA108*Precios!BA$3</f>
        <v>0</v>
      </c>
      <c r="BF110" s="12">
        <f>+Precios!BB108*Precios!BB$3</f>
        <v>0</v>
      </c>
      <c r="BG110" s="12">
        <f>+Precios!BC108*Precios!BC$3</f>
        <v>0</v>
      </c>
      <c r="BH110" s="12">
        <f>+Precios!BD108*$BH$3</f>
        <v>68572.800000000003</v>
      </c>
      <c r="BI110" s="12">
        <f>+Precios!BE108*Precios!BE$3</f>
        <v>0</v>
      </c>
      <c r="BJ110" s="12">
        <f>+Precios!BF108*Precios!BF$3</f>
        <v>50949.599999999999</v>
      </c>
      <c r="BK110" s="12">
        <f>+Precios!BG108*Precios!BG$3</f>
        <v>0</v>
      </c>
      <c r="BL110" s="12">
        <f>+Precios!BH108*Precios!BH$3</f>
        <v>0</v>
      </c>
      <c r="BM110" s="12">
        <f>+Precios!BI108*Precios!BI$3</f>
        <v>0</v>
      </c>
      <c r="BN110" s="12">
        <f>+Precios!BJ108*$BN$3</f>
        <v>67714.23000000001</v>
      </c>
      <c r="BO110" s="12">
        <f>+Precios!BK108*$BO$3</f>
        <v>55420.65</v>
      </c>
      <c r="BP110" s="12">
        <f>+Precios!BL108*Precios!BL$3</f>
        <v>0</v>
      </c>
      <c r="BQ110" s="12">
        <f>+Precios!BM108*Precios!BM$3</f>
        <v>49818.57</v>
      </c>
      <c r="BR110" s="12">
        <f>+Precios!BN108*$BR$3</f>
        <v>60999.16</v>
      </c>
      <c r="BS110" s="12">
        <f>+Precios!BO108*Precios!BO$3</f>
        <v>0</v>
      </c>
      <c r="BT110" s="12">
        <f>+Precios!BP108*$BT$3</f>
        <v>61195.41</v>
      </c>
      <c r="BU110" s="12">
        <f>+Precios!BQ108*$BU$3</f>
        <v>51671.8</v>
      </c>
      <c r="BV110" s="12">
        <f>+Precios!BR108*$BV$3</f>
        <v>55911.68</v>
      </c>
      <c r="BW110" s="12">
        <f>+Precios!BS108*Precios!BS$3</f>
        <v>48849.04</v>
      </c>
      <c r="BX110" s="12">
        <f>+Precios!BT108*Precios!BT$3</f>
        <v>0</v>
      </c>
      <c r="BY110" s="12">
        <f>+Precios!BU108*Precios!BU$3</f>
        <v>0</v>
      </c>
    </row>
    <row r="111" spans="1:77" ht="15" thickBot="1">
      <c r="A111" s="5">
        <f>+SUM(F111:XFD111)</f>
        <v>651680.03</v>
      </c>
      <c r="B111" s="26">
        <f>+TRACK!M62+TRACK!M63</f>
        <v>9268.4</v>
      </c>
      <c r="C111" s="5">
        <f t="shared" ref="C111:C115" si="2">+C110+B111</f>
        <v>39050.679999999986</v>
      </c>
      <c r="D111" s="5">
        <f>1000000+C111-Cost!A111</f>
        <v>480670.49</v>
      </c>
      <c r="E111" s="15">
        <f>+Precios!A109</f>
        <v>46125</v>
      </c>
      <c r="F111" s="12">
        <f>+Precios!B109*Precios!B$3</f>
        <v>0</v>
      </c>
      <c r="G111" s="12">
        <f>+Precios!C109*Precios!C$3</f>
        <v>0</v>
      </c>
      <c r="H111" s="12">
        <f>+Precios!D109*Precios!D$3</f>
        <v>0</v>
      </c>
      <c r="I111" s="12">
        <f>+Precios!E109*Precios!E$3</f>
        <v>0</v>
      </c>
      <c r="J111" s="12">
        <f>+Precios!F109*Precios!F$3</f>
        <v>0</v>
      </c>
      <c r="K111" s="12">
        <f>+Precios!G109*Precios!G$3</f>
        <v>0</v>
      </c>
      <c r="L111" s="12">
        <f>+Precios!H109*Precios!H$3</f>
        <v>0</v>
      </c>
      <c r="M111" s="12">
        <f>+Precios!I109*Precios!I$3</f>
        <v>0</v>
      </c>
      <c r="N111" s="12">
        <f>+Precios!J109*Precios!J$3</f>
        <v>0</v>
      </c>
      <c r="O111" s="12">
        <f>+Precios!K109*Precios!K$3</f>
        <v>0</v>
      </c>
      <c r="P111" s="12">
        <f>+Precios!L109*Precios!L$3</f>
        <v>0</v>
      </c>
      <c r="Q111" s="12">
        <f>+Precios!M109*Precios!M$3</f>
        <v>0</v>
      </c>
      <c r="R111" s="12">
        <f>+Precios!N109*Precios!N$3</f>
        <v>0</v>
      </c>
      <c r="S111" s="12">
        <f>+Precios!O109*Precios!O$3</f>
        <v>0</v>
      </c>
      <c r="T111" s="12">
        <f>+Precios!P109*Precios!P$3</f>
        <v>0</v>
      </c>
      <c r="U111" s="12">
        <f>+Precios!Q109*Precios!Q$3</f>
        <v>0</v>
      </c>
      <c r="V111" s="12">
        <f>+Precios!R109*Precios!R$3</f>
        <v>0</v>
      </c>
      <c r="W111" s="12">
        <f>+Precios!S109*Precios!S$3</f>
        <v>0</v>
      </c>
      <c r="X111" s="12">
        <f>+Precios!T109*Precios!T$3</f>
        <v>0</v>
      </c>
      <c r="Y111" s="12">
        <f>+Precios!U109*Precios!U$3</f>
        <v>0</v>
      </c>
      <c r="Z111" s="12">
        <f>+Precios!V109*Precios!V$3</f>
        <v>0</v>
      </c>
      <c r="AA111" s="12">
        <f>+Precios!W109*Precios!W$3</f>
        <v>0</v>
      </c>
      <c r="AB111" s="12">
        <f>+Precios!X109*Precios!X$3</f>
        <v>0</v>
      </c>
      <c r="AC111" s="12">
        <f>+Precios!Y109*Precios!Y$3</f>
        <v>0</v>
      </c>
      <c r="AD111" s="12">
        <f>+Precios!Z109*Precios!Z$3</f>
        <v>0</v>
      </c>
      <c r="AE111" s="12">
        <f>+Precios!AA109*Precios!AA$3</f>
        <v>0</v>
      </c>
      <c r="AF111" s="12">
        <f>+Precios!AB109*Precios!AB$3</f>
        <v>0</v>
      </c>
      <c r="AG111" s="12">
        <f>+Precios!AC109*Precios!AC$3</f>
        <v>0</v>
      </c>
      <c r="AH111" s="12">
        <f>+Precios!AD109*Precios!AD$3</f>
        <v>0</v>
      </c>
      <c r="AI111" s="12">
        <f>+Precios!AE109*Precios!AE$3</f>
        <v>0</v>
      </c>
      <c r="AJ111" s="12">
        <f>+Precios!AF109*Precios!AF$3</f>
        <v>0</v>
      </c>
      <c r="AK111" s="12">
        <f>+Precios!AG109*Precios!AG$3</f>
        <v>0</v>
      </c>
      <c r="AL111" s="12">
        <f>+Precios!AH109*Precios!AH$3</f>
        <v>0</v>
      </c>
      <c r="AM111" s="12">
        <f>+Precios!AI109*Precios!AI$3</f>
        <v>0</v>
      </c>
      <c r="AN111" s="12">
        <f>+Precios!AJ109*Precios!AJ$3</f>
        <v>0</v>
      </c>
      <c r="AO111" s="12">
        <f>+Precios!AK109*Precios!AK$3</f>
        <v>0</v>
      </c>
      <c r="AP111" s="12">
        <f>+Precios!AL109*Precios!AL$3</f>
        <v>0</v>
      </c>
      <c r="AQ111" s="12">
        <f>+Precios!AM109*Precios!AM$3</f>
        <v>0</v>
      </c>
      <c r="AR111" s="12">
        <f>+Precios!AN109*Precios!AN$3</f>
        <v>0</v>
      </c>
      <c r="AS111" s="12">
        <f>+Precios!AO109*Precios!AO$3</f>
        <v>0</v>
      </c>
      <c r="AT111" s="12">
        <f>+Precios!AP109*Precios!AP$3</f>
        <v>0</v>
      </c>
      <c r="AU111" s="12">
        <f>+Precios!AQ109*Precios!AQ$3</f>
        <v>0</v>
      </c>
      <c r="AV111" s="12">
        <f>+Precios!AR109*Precios!AR$3</f>
        <v>0</v>
      </c>
      <c r="AW111" s="12">
        <f>+Precios!AS109*Precios!AS$3</f>
        <v>0</v>
      </c>
      <c r="AX111" s="12">
        <f>+Precios!AT109*Precios!AT$3</f>
        <v>0</v>
      </c>
      <c r="AY111" s="44">
        <f>+Precios!AU109*$AY$4</f>
        <v>28770.75</v>
      </c>
      <c r="AZ111" s="12">
        <f>+Precios!AV109*Precios!AV$3</f>
        <v>0</v>
      </c>
      <c r="BA111" s="12">
        <f>+Precios!AW109*Precios!AW$3</f>
        <v>0</v>
      </c>
      <c r="BB111" s="12">
        <f>+Precios!AX109*Precios!AX$3</f>
        <v>0</v>
      </c>
      <c r="BC111" s="12">
        <f>+Precios!AY109*Precios!AY$3</f>
        <v>0</v>
      </c>
      <c r="BD111" s="12">
        <f>+Precios!AZ109*Precios!AZ$3</f>
        <v>0</v>
      </c>
      <c r="BE111" s="12">
        <f>+Precios!BA109*Precios!BA$3</f>
        <v>0</v>
      </c>
      <c r="BF111" s="12">
        <f>+Precios!BB109*Precios!BB$3</f>
        <v>0</v>
      </c>
      <c r="BG111" s="12">
        <f>+Precios!BC109*Precios!BC$3</f>
        <v>0</v>
      </c>
      <c r="BH111" s="12">
        <f>+Precios!BD109*$BH$3</f>
        <v>72858.599999999991</v>
      </c>
      <c r="BI111" s="12">
        <f>+Precios!BE109*Precios!BE$3</f>
        <v>0</v>
      </c>
      <c r="BJ111" s="12">
        <f>+Precios!BF109*Precios!BF$3</f>
        <v>56403.82</v>
      </c>
      <c r="BK111" s="12">
        <f>+Precios!BG109*Precios!BG$3</f>
        <v>0</v>
      </c>
      <c r="BL111" s="12">
        <f>+Precios!BH109*Precios!BH$3</f>
        <v>0</v>
      </c>
      <c r="BM111" s="12">
        <f>+Precios!BI109*Precios!BI$3</f>
        <v>0</v>
      </c>
      <c r="BN111" s="44">
        <f>+Precios!BJ109*$BN$4</f>
        <v>46217.600000000006</v>
      </c>
      <c r="BO111" s="12">
        <f>+Precios!BK109*$BO$3</f>
        <v>58646.7</v>
      </c>
      <c r="BQ111" s="12">
        <f>+Precios!BM109*Precios!BM$3</f>
        <v>52662.18</v>
      </c>
      <c r="BR111" s="12">
        <f>+Precios!BN109*$BR$3</f>
        <v>63173.08</v>
      </c>
      <c r="BT111" s="12">
        <f>+Precios!BP109*$BT$3</f>
        <v>63076.35</v>
      </c>
      <c r="BU111" s="12">
        <f>+Precios!BQ109*$BU$3</f>
        <v>50861.05</v>
      </c>
      <c r="BV111" s="12">
        <f>+Precios!BR109*$BV$3</f>
        <v>57976.6</v>
      </c>
      <c r="BW111" s="12">
        <f>+Precios!BS109*Precios!BS$3</f>
        <v>51686.240000000005</v>
      </c>
      <c r="BX111" s="12">
        <f>+Precios!BT109*Precios!BT$3</f>
        <v>49347.06</v>
      </c>
      <c r="BY111" s="12">
        <f>+Precios!BU109*Precios!BU$3</f>
        <v>0</v>
      </c>
    </row>
    <row r="112" spans="1:77" ht="15" thickBot="1">
      <c r="A112" s="5">
        <f>+SUM(F112:XFD112)</f>
        <v>632958.7699999999</v>
      </c>
      <c r="B112" s="26">
        <f>+TRACK!M64+TRACK!M65+TRACK!M66</f>
        <v>4437.4599999999991</v>
      </c>
      <c r="C112" s="5">
        <f t="shared" si="2"/>
        <v>43488.139999999985</v>
      </c>
      <c r="D112" s="5">
        <f>1000000+C112-Cost!A112</f>
        <v>507580.76</v>
      </c>
      <c r="E112" s="15">
        <f>+Precios!A110</f>
        <v>46126</v>
      </c>
      <c r="F112" s="12">
        <f>+Precios!B110*Precios!B$3</f>
        <v>0</v>
      </c>
      <c r="G112" s="12">
        <f>+Precios!C110*Precios!C$3</f>
        <v>0</v>
      </c>
      <c r="H112" s="12">
        <f>+Precios!D110*Precios!D$3</f>
        <v>0</v>
      </c>
      <c r="I112" s="12">
        <f>+Precios!E110*Precios!E$3</f>
        <v>0</v>
      </c>
      <c r="J112" s="12">
        <f>+Precios!F110*Precios!F$3</f>
        <v>0</v>
      </c>
      <c r="K112" s="12">
        <f>+Precios!G110*Precios!G$3</f>
        <v>0</v>
      </c>
      <c r="L112" s="12">
        <f>+Precios!H110*Precios!H$3</f>
        <v>0</v>
      </c>
      <c r="M112" s="12">
        <f>+Precios!I110*Precios!I$3</f>
        <v>0</v>
      </c>
      <c r="N112" s="12">
        <f>+Precios!J110*Precios!J$3</f>
        <v>0</v>
      </c>
      <c r="O112" s="12">
        <f>+Precios!K110*Precios!K$3</f>
        <v>0</v>
      </c>
      <c r="P112" s="12">
        <f>+Precios!L110*Precios!L$3</f>
        <v>0</v>
      </c>
      <c r="Q112" s="12">
        <f>+Precios!M110*Precios!M$3</f>
        <v>0</v>
      </c>
      <c r="R112" s="12">
        <f>+Precios!N110*Precios!N$3</f>
        <v>0</v>
      </c>
      <c r="S112" s="12">
        <f>+Precios!O110*Precios!O$3</f>
        <v>0</v>
      </c>
      <c r="T112" s="12">
        <f>+Precios!P110*Precios!P$3</f>
        <v>0</v>
      </c>
      <c r="U112" s="12">
        <f>+Precios!Q110*Precios!Q$3</f>
        <v>0</v>
      </c>
      <c r="V112" s="12">
        <f>+Precios!R110*Precios!R$3</f>
        <v>0</v>
      </c>
      <c r="W112" s="12">
        <f>+Precios!S110*Precios!S$3</f>
        <v>0</v>
      </c>
      <c r="X112" s="12">
        <f>+Precios!T110*Precios!T$3</f>
        <v>0</v>
      </c>
      <c r="Y112" s="12">
        <f>+Precios!U110*Precios!U$3</f>
        <v>0</v>
      </c>
      <c r="Z112" s="12">
        <f>+Precios!V110*Precios!V$3</f>
        <v>0</v>
      </c>
      <c r="AA112" s="12">
        <f>+Precios!W110*Precios!W$3</f>
        <v>0</v>
      </c>
      <c r="AB112" s="12">
        <f>+Precios!X110*Precios!X$3</f>
        <v>0</v>
      </c>
      <c r="AC112" s="12">
        <f>+Precios!Y110*Precios!Y$3</f>
        <v>0</v>
      </c>
      <c r="AD112" s="12">
        <f>+Precios!Z110*Precios!Z$3</f>
        <v>0</v>
      </c>
      <c r="AE112" s="12">
        <f>+Precios!AA110*Precios!AA$3</f>
        <v>0</v>
      </c>
      <c r="AF112" s="12">
        <f>+Precios!AB110*Precios!AB$3</f>
        <v>0</v>
      </c>
      <c r="AG112" s="12">
        <f>+Precios!AC110*Precios!AC$3</f>
        <v>0</v>
      </c>
      <c r="AH112" s="12">
        <f>+Precios!AD110*Precios!AD$3</f>
        <v>0</v>
      </c>
      <c r="AI112" s="12">
        <f>+Precios!AE110*Precios!AE$3</f>
        <v>0</v>
      </c>
      <c r="AJ112" s="12">
        <f>+Precios!AF110*Precios!AF$3</f>
        <v>0</v>
      </c>
      <c r="AK112" s="12">
        <f>+Precios!AG110*Precios!AG$3</f>
        <v>0</v>
      </c>
      <c r="AL112" s="12">
        <f>+Precios!AH110*Precios!AH$3</f>
        <v>0</v>
      </c>
      <c r="AM112" s="12">
        <f>+Precios!AI110*Precios!AI$3</f>
        <v>0</v>
      </c>
      <c r="AN112" s="12">
        <f>+Precios!AJ110*Precios!AJ$3</f>
        <v>0</v>
      </c>
      <c r="AO112" s="12">
        <f>+Precios!AK110*Precios!AK$3</f>
        <v>0</v>
      </c>
      <c r="AP112" s="12">
        <f>+Precios!AL110*Precios!AL$3</f>
        <v>0</v>
      </c>
      <c r="AQ112" s="12">
        <f>+Precios!AM110*Precios!AM$3</f>
        <v>0</v>
      </c>
      <c r="AR112" s="12">
        <f>+Precios!AN110*Precios!AN$3</f>
        <v>0</v>
      </c>
      <c r="AS112" s="12">
        <f>+Precios!AO110*Precios!AO$3</f>
        <v>0</v>
      </c>
      <c r="AT112" s="12">
        <f>+Precios!AP110*Precios!AP$3</f>
        <v>0</v>
      </c>
      <c r="AU112" s="12">
        <f>+Precios!AQ110*Precios!AQ$3</f>
        <v>0</v>
      </c>
      <c r="AV112" s="12">
        <f>+Precios!AR110*Precios!AR$3</f>
        <v>0</v>
      </c>
      <c r="AW112" s="12">
        <f>+Precios!AS110*Precios!AS$3</f>
        <v>0</v>
      </c>
      <c r="AX112" s="12">
        <f>+Precios!AT110*Precios!AT$3</f>
        <v>0</v>
      </c>
      <c r="AY112" s="12">
        <f>+Precios!AU110*$AY$4</f>
        <v>28972.649999999998</v>
      </c>
      <c r="AZ112" s="12">
        <f>+Precios!AV110*Precios!AV$3</f>
        <v>0</v>
      </c>
      <c r="BA112" s="12">
        <f>+Precios!AW110*Precios!AW$3</f>
        <v>0</v>
      </c>
      <c r="BB112" s="12">
        <f>+Precios!AX110*Precios!AX$3</f>
        <v>0</v>
      </c>
      <c r="BC112" s="12">
        <f>+Precios!AY110*Precios!AY$3</f>
        <v>0</v>
      </c>
      <c r="BD112" s="12">
        <f>+Precios!AZ110*Precios!AZ$3</f>
        <v>0</v>
      </c>
      <c r="BE112" s="12">
        <f>+Precios!BA110*Precios!BA$3</f>
        <v>0</v>
      </c>
      <c r="BF112" s="12">
        <f>+Precios!BB110*Precios!BB$3</f>
        <v>0</v>
      </c>
      <c r="BG112" s="12">
        <f>+Precios!BC110*Precios!BC$3</f>
        <v>0</v>
      </c>
      <c r="BH112" s="12">
        <f>+Precios!BD110*$BH$3</f>
        <v>69572.820000000007</v>
      </c>
      <c r="BI112" s="12">
        <f>+Precios!BE110*Precios!BE$3</f>
        <v>0</v>
      </c>
      <c r="BJ112" s="12">
        <f>+Precios!BF110*Precios!BF$3</f>
        <v>56697.759999999995</v>
      </c>
      <c r="BK112" s="12">
        <f>+Precios!BG110*Precios!BG$3</f>
        <v>0</v>
      </c>
      <c r="BL112" s="12">
        <f>+Precios!BH110*Precios!BH$3</f>
        <v>0</v>
      </c>
      <c r="BM112" s="12">
        <f>+Precios!BI110*Precios!BI$3</f>
        <v>0</v>
      </c>
      <c r="BN112" s="12">
        <f>+Precios!BJ110*$BN$4</f>
        <v>47108.160000000003</v>
      </c>
      <c r="BO112" s="44">
        <f>+Precios!BK110*$BO$4</f>
        <v>54004.86</v>
      </c>
      <c r="BQ112" s="12">
        <f>+Precios!BM110*Precios!BM$3</f>
        <v>54582.54</v>
      </c>
      <c r="BR112" s="50">
        <f>+Precios!BN110*$BR$4</f>
        <v>52074.000000000007</v>
      </c>
      <c r="BT112" s="12">
        <f>+Precios!BP110*$BT$3</f>
        <v>67940.849999999991</v>
      </c>
      <c r="BU112" s="12">
        <f>+Precios!BQ110*$BU$3</f>
        <v>52266.35</v>
      </c>
      <c r="BV112" s="44">
        <f>+Precios!BR110*$BV$4</f>
        <v>45185.14</v>
      </c>
      <c r="BW112" s="12">
        <f>+Precios!BS110*Precios!BS$3</f>
        <v>52880.159999999996</v>
      </c>
      <c r="BX112" s="12">
        <f>+Precios!BT110*Precios!BT$3</f>
        <v>51673.48</v>
      </c>
      <c r="BY112" s="12">
        <f>+Precios!BU110*Precios!BU$3</f>
        <v>0</v>
      </c>
    </row>
    <row r="113" spans="1:77" ht="15" thickBot="1">
      <c r="A113" s="5">
        <f>+SUM(F113:XFD113)</f>
        <v>665652.41999999993</v>
      </c>
      <c r="B113" s="26">
        <f>+TRACK!M67+TRACK!M68</f>
        <v>4800.5954999999994</v>
      </c>
      <c r="C113" s="5">
        <f t="shared" si="2"/>
        <v>48288.735499999981</v>
      </c>
      <c r="D113" s="5">
        <f>1000000+C113-Cost!A113</f>
        <v>477368.85549999995</v>
      </c>
      <c r="E113" s="15">
        <f>+Precios!A111</f>
        <v>46127</v>
      </c>
      <c r="F113" s="12">
        <f>+Precios!B111*Precios!B$3</f>
        <v>0</v>
      </c>
      <c r="G113" s="12">
        <f>+Precios!C111*Precios!C$3</f>
        <v>0</v>
      </c>
      <c r="H113" s="12">
        <f>+Precios!D111*Precios!D$3</f>
        <v>0</v>
      </c>
      <c r="I113" s="12">
        <f>+Precios!E111*Precios!E$3</f>
        <v>0</v>
      </c>
      <c r="J113" s="12">
        <f>+Precios!F111*Precios!F$3</f>
        <v>0</v>
      </c>
      <c r="K113" s="12">
        <f>+Precios!G111*Precios!G$3</f>
        <v>0</v>
      </c>
      <c r="L113" s="12">
        <f>+Precios!H111*Precios!H$3</f>
        <v>0</v>
      </c>
      <c r="M113" s="12">
        <f>+Precios!I111*Precios!I$3</f>
        <v>0</v>
      </c>
      <c r="N113" s="12">
        <f>+Precios!J111*Precios!J$3</f>
        <v>0</v>
      </c>
      <c r="O113" s="12">
        <f>+Precios!K111*Precios!K$3</f>
        <v>0</v>
      </c>
      <c r="P113" s="12">
        <f>+Precios!L111*Precios!L$3</f>
        <v>0</v>
      </c>
      <c r="Q113" s="12">
        <f>+Precios!M111*Precios!M$3</f>
        <v>0</v>
      </c>
      <c r="R113" s="12">
        <f>+Precios!N111*Precios!N$3</f>
        <v>0</v>
      </c>
      <c r="S113" s="12">
        <f>+Precios!O111*Precios!O$3</f>
        <v>0</v>
      </c>
      <c r="T113" s="12">
        <f>+Precios!P111*Precios!P$3</f>
        <v>0</v>
      </c>
      <c r="U113" s="12">
        <f>+Precios!Q111*Precios!Q$3</f>
        <v>0</v>
      </c>
      <c r="V113" s="12">
        <f>+Precios!R111*Precios!R$3</f>
        <v>0</v>
      </c>
      <c r="W113" s="12">
        <f>+Precios!S111*Precios!S$3</f>
        <v>0</v>
      </c>
      <c r="X113" s="12">
        <f>+Precios!T111*Precios!T$3</f>
        <v>0</v>
      </c>
      <c r="Y113" s="12">
        <f>+Precios!U111*Precios!U$3</f>
        <v>0</v>
      </c>
      <c r="Z113" s="12">
        <f>+Precios!V111*Precios!V$3</f>
        <v>0</v>
      </c>
      <c r="AA113" s="12">
        <f>+Precios!W111*Precios!W$3</f>
        <v>0</v>
      </c>
      <c r="AB113" s="12">
        <f>+Precios!X111*Precios!X$3</f>
        <v>0</v>
      </c>
      <c r="AC113" s="12">
        <f>+Precios!Y111*Precios!Y$3</f>
        <v>0</v>
      </c>
      <c r="AD113" s="12">
        <f>+Precios!Z111*Precios!Z$3</f>
        <v>0</v>
      </c>
      <c r="AE113" s="12">
        <f>+Precios!AA111*Precios!AA$3</f>
        <v>0</v>
      </c>
      <c r="AF113" s="12">
        <f>+Precios!AB111*Precios!AB$3</f>
        <v>0</v>
      </c>
      <c r="AG113" s="12">
        <f>+Precios!AC111*Precios!AC$3</f>
        <v>0</v>
      </c>
      <c r="AH113" s="12">
        <f>+Precios!AD111*Precios!AD$3</f>
        <v>0</v>
      </c>
      <c r="AI113" s="12">
        <f>+Precios!AE111*Precios!AE$3</f>
        <v>0</v>
      </c>
      <c r="AJ113" s="12">
        <f>+Precios!AF111*Precios!AF$3</f>
        <v>0</v>
      </c>
      <c r="AK113" s="12">
        <f>+Precios!AG111*Precios!AG$3</f>
        <v>0</v>
      </c>
      <c r="AL113" s="12">
        <f>+Precios!AH111*Precios!AH$3</f>
        <v>0</v>
      </c>
      <c r="AM113" s="12">
        <f>+Precios!AI111*Precios!AI$3</f>
        <v>0</v>
      </c>
      <c r="AN113" s="12">
        <f>+Precios!AJ111*Precios!AJ$3</f>
        <v>0</v>
      </c>
      <c r="AO113" s="12">
        <f>+Precios!AK111*Precios!AK$3</f>
        <v>0</v>
      </c>
      <c r="AP113" s="12">
        <f>+Precios!AL111*Precios!AL$3</f>
        <v>0</v>
      </c>
      <c r="AQ113" s="12">
        <f>+Precios!AM111*Precios!AM$3</f>
        <v>0</v>
      </c>
      <c r="AR113" s="12">
        <f>+Precios!AN111*Precios!AN$3</f>
        <v>0</v>
      </c>
      <c r="AS113" s="12">
        <f>+Precios!AO111*Precios!AO$3</f>
        <v>0</v>
      </c>
      <c r="AT113" s="12">
        <f>+Precios!AP111*Precios!AP$3</f>
        <v>0</v>
      </c>
      <c r="AU113" s="12">
        <f>+Precios!AQ111*Precios!AQ$3</f>
        <v>0</v>
      </c>
      <c r="AV113" s="12">
        <f>+Precios!AR111*Precios!AR$3</f>
        <v>0</v>
      </c>
      <c r="AW113" s="12">
        <f>+Precios!AS111*Precios!AS$3</f>
        <v>0</v>
      </c>
      <c r="AX113" s="12">
        <f>+Precios!AT111*Precios!AT$3</f>
        <v>0</v>
      </c>
      <c r="AY113" s="12">
        <f>+Precios!AU111*$AY$4</f>
        <v>30184.05</v>
      </c>
      <c r="AZ113" s="12">
        <f>+Precios!AV111*Precios!AV$3</f>
        <v>0</v>
      </c>
      <c r="BA113" s="12">
        <f>+Precios!AW111*Precios!AW$3</f>
        <v>0</v>
      </c>
      <c r="BB113" s="12">
        <f>+Precios!AX111*Precios!AX$3</f>
        <v>0</v>
      </c>
      <c r="BC113" s="12">
        <f>+Precios!AY111*Precios!AY$3</f>
        <v>0</v>
      </c>
      <c r="BD113" s="12">
        <f>+Precios!AZ111*Precios!AZ$3</f>
        <v>0</v>
      </c>
      <c r="BE113" s="12">
        <f>+Precios!BA111*Precios!BA$3</f>
        <v>0</v>
      </c>
      <c r="BF113" s="12">
        <f>+Precios!BB111*Precios!BB$3</f>
        <v>0</v>
      </c>
      <c r="BG113" s="12">
        <f>+Precios!BC111*Precios!BC$3</f>
        <v>0</v>
      </c>
      <c r="BH113" s="44">
        <f>+Precios!BD111*$BH$4</f>
        <v>59500.700000000004</v>
      </c>
      <c r="BI113" s="12">
        <f>+Precios!BE111*Precios!BE$3</f>
        <v>0</v>
      </c>
      <c r="BJ113" s="12">
        <f>+Precios!BF111*Precios!BF$3</f>
        <v>57220.32</v>
      </c>
      <c r="BK113" s="12">
        <f>+Precios!BG111*Precios!BG$3</f>
        <v>0</v>
      </c>
      <c r="BL113" s="12">
        <f>+Precios!BH111*Precios!BH$3</f>
        <v>0</v>
      </c>
      <c r="BM113" s="12">
        <f>+Precios!BI111*Precios!BI$3</f>
        <v>0</v>
      </c>
      <c r="BN113" s="12">
        <f>+Precios!BJ111*$BN$4</f>
        <v>47379.199999999997</v>
      </c>
      <c r="BO113" s="12">
        <f>+Precios!BK111*$BO$4</f>
        <v>54900.299999999996</v>
      </c>
      <c r="BQ113" s="12">
        <f>+Precios!BM111*Precios!BM$3</f>
        <v>55173.42</v>
      </c>
      <c r="BR113" s="12">
        <f>+Precios!BN111*$BR$4</f>
        <v>52536</v>
      </c>
      <c r="BT113" s="44">
        <f>+Precios!BP111*$BT$4</f>
        <v>54230.19</v>
      </c>
      <c r="BU113" s="12">
        <f>+Precios!BQ111*$BU$3</f>
        <v>51023.199999999997</v>
      </c>
      <c r="BV113" s="12">
        <f>+Precios!BR111*$BV$4</f>
        <v>46935.979999999996</v>
      </c>
      <c r="BW113" s="12">
        <f>+Precios!BS111*Precios!BS$3</f>
        <v>52263.520000000004</v>
      </c>
      <c r="BX113" s="12">
        <f>+Precios!BT111*Precios!BT$3</f>
        <v>51825.84</v>
      </c>
      <c r="BY113" s="12">
        <f>+Precios!BU111*Precios!BU$3</f>
        <v>52479.700000000004</v>
      </c>
    </row>
    <row r="114" spans="1:77" ht="15" thickBot="1">
      <c r="A114" s="5">
        <f>+SUM(F114:XFD114)</f>
        <v>647910.42000000004</v>
      </c>
      <c r="B114" s="26">
        <f>+TRACK!M69+TRACK!M70</f>
        <v>2386.6800000000007</v>
      </c>
      <c r="C114" s="5">
        <f t="shared" si="2"/>
        <v>50675.415499999981</v>
      </c>
      <c r="D114" s="5">
        <f>1000000+C114-Cost!A114</f>
        <v>502410.26549999986</v>
      </c>
      <c r="E114" s="15">
        <f>+Precios!A112</f>
        <v>46128</v>
      </c>
      <c r="F114" s="12">
        <f>+Precios!B112*Precios!B$3</f>
        <v>0</v>
      </c>
      <c r="G114" s="12">
        <f>+Precios!C112*Precios!C$3</f>
        <v>0</v>
      </c>
      <c r="H114" s="12">
        <f>+Precios!D112*Precios!D$3</f>
        <v>0</v>
      </c>
      <c r="I114" s="12">
        <f>+Precios!E112*Precios!E$3</f>
        <v>0</v>
      </c>
      <c r="J114" s="12">
        <f>+Precios!F112*Precios!F$3</f>
        <v>0</v>
      </c>
      <c r="K114" s="12">
        <f>+Precios!G112*Precios!G$3</f>
        <v>0</v>
      </c>
      <c r="L114" s="12">
        <f>+Precios!H112*Precios!H$3</f>
        <v>0</v>
      </c>
      <c r="M114" s="12">
        <f>+Precios!I112*Precios!I$3</f>
        <v>0</v>
      </c>
      <c r="N114" s="12">
        <f>+Precios!J112*Precios!J$3</f>
        <v>0</v>
      </c>
      <c r="O114" s="12">
        <f>+Precios!K112*Precios!K$3</f>
        <v>0</v>
      </c>
      <c r="P114" s="12">
        <f>+Precios!L112*Precios!L$3</f>
        <v>0</v>
      </c>
      <c r="Q114" s="12">
        <f>+Precios!M112*Precios!M$3</f>
        <v>0</v>
      </c>
      <c r="R114" s="12">
        <f>+Precios!N112*Precios!N$3</f>
        <v>0</v>
      </c>
      <c r="S114" s="12">
        <f>+Precios!O112*Precios!O$3</f>
        <v>0</v>
      </c>
      <c r="T114" s="12">
        <f>+Precios!P112*Precios!P$3</f>
        <v>0</v>
      </c>
      <c r="U114" s="12">
        <f>+Precios!Q112*Precios!Q$3</f>
        <v>0</v>
      </c>
      <c r="V114" s="12">
        <f>+Precios!R112*Precios!R$3</f>
        <v>0</v>
      </c>
      <c r="W114" s="12">
        <f>+Precios!S112*Precios!S$3</f>
        <v>0</v>
      </c>
      <c r="X114" s="12">
        <f>+Precios!T112*Precios!T$3</f>
        <v>0</v>
      </c>
      <c r="Y114" s="12">
        <f>+Precios!U112*Precios!U$3</f>
        <v>0</v>
      </c>
      <c r="Z114" s="12">
        <f>+Precios!V112*Precios!V$3</f>
        <v>0</v>
      </c>
      <c r="AA114" s="12">
        <f>+Precios!W112*Precios!W$3</f>
        <v>0</v>
      </c>
      <c r="AB114" s="12">
        <f>+Precios!X112*Precios!X$3</f>
        <v>0</v>
      </c>
      <c r="AC114" s="12">
        <f>+Precios!Y112*Precios!Y$3</f>
        <v>0</v>
      </c>
      <c r="AD114" s="12">
        <f>+Precios!Z112*Precios!Z$3</f>
        <v>0</v>
      </c>
      <c r="AE114" s="12">
        <f>+Precios!AA112*Precios!AA$3</f>
        <v>0</v>
      </c>
      <c r="AF114" s="12">
        <f>+Precios!AB112*Precios!AB$3</f>
        <v>0</v>
      </c>
      <c r="AG114" s="12">
        <f>+Precios!AC112*Precios!AC$3</f>
        <v>0</v>
      </c>
      <c r="AH114" s="12">
        <f>+Precios!AD112*Precios!AD$3</f>
        <v>0</v>
      </c>
      <c r="AI114" s="12">
        <f>+Precios!AE112*Precios!AE$3</f>
        <v>0</v>
      </c>
      <c r="AJ114" s="12">
        <f>+Precios!AF112*Precios!AF$3</f>
        <v>0</v>
      </c>
      <c r="AK114" s="12">
        <f>+Precios!AG112*Precios!AG$3</f>
        <v>0</v>
      </c>
      <c r="AL114" s="12">
        <f>+Precios!AH112*Precios!AH$3</f>
        <v>0</v>
      </c>
      <c r="AM114" s="12">
        <f>+Precios!AI112*Precios!AI$3</f>
        <v>0</v>
      </c>
      <c r="AN114" s="12">
        <f>+Precios!AJ112*Precios!AJ$3</f>
        <v>0</v>
      </c>
      <c r="AO114" s="12">
        <f>+Precios!AK112*Precios!AK$3</f>
        <v>0</v>
      </c>
      <c r="AP114" s="12">
        <f>+Precios!AL112*Precios!AL$3</f>
        <v>0</v>
      </c>
      <c r="AQ114" s="12">
        <f>+Precios!AM112*Precios!AM$3</f>
        <v>0</v>
      </c>
      <c r="AR114" s="12">
        <f>+Precios!AN112*Precios!AN$3</f>
        <v>0</v>
      </c>
      <c r="AS114" s="12">
        <f>+Precios!AO112*Precios!AO$3</f>
        <v>0</v>
      </c>
      <c r="AT114" s="12">
        <f>+Precios!AP112*Precios!AP$3</f>
        <v>0</v>
      </c>
      <c r="AU114" s="12">
        <f>+Precios!AQ112*Precios!AQ$3</f>
        <v>0</v>
      </c>
      <c r="AV114" s="12">
        <f>+Precios!AR112*Precios!AR$3</f>
        <v>0</v>
      </c>
      <c r="AW114" s="12">
        <f>+Precios!AS112*Precios!AS$3</f>
        <v>0</v>
      </c>
      <c r="AX114" s="12">
        <f>+Precios!AT112*Precios!AT$3</f>
        <v>0</v>
      </c>
      <c r="AY114" s="12">
        <f>+Precios!AU112*$AY$4</f>
        <v>29760.06</v>
      </c>
      <c r="AZ114" s="12">
        <f>+Precios!AV112*Precios!AV$3</f>
        <v>0</v>
      </c>
      <c r="BA114" s="12">
        <f>+Precios!AW112*Precios!AW$3</f>
        <v>0</v>
      </c>
      <c r="BB114" s="12">
        <f>+Precios!AX112*Precios!AX$3</f>
        <v>0</v>
      </c>
      <c r="BC114" s="12">
        <f>+Precios!AY112*Precios!AY$3</f>
        <v>0</v>
      </c>
      <c r="BD114" s="12">
        <f>+Precios!AZ112*Precios!AZ$3</f>
        <v>0</v>
      </c>
      <c r="BE114" s="12">
        <f>+Precios!BA112*Precios!BA$3</f>
        <v>0</v>
      </c>
      <c r="BF114" s="12">
        <f>+Precios!BB112*Precios!BB$3</f>
        <v>0</v>
      </c>
      <c r="BG114" s="12">
        <f>+Precios!BC112*Precios!BC$3</f>
        <v>0</v>
      </c>
      <c r="BH114" s="12">
        <f>+Precios!BD112*$BH$4</f>
        <v>59986.420000000006</v>
      </c>
      <c r="BI114" s="12">
        <f>+Precios!BE112*Precios!BE$3</f>
        <v>0</v>
      </c>
      <c r="BJ114" s="12">
        <f>+Precios!BF112*Precios!BF$3</f>
        <v>56485.470000000008</v>
      </c>
      <c r="BK114" s="12">
        <f>+Precios!BG112*Precios!BG$3</f>
        <v>0</v>
      </c>
      <c r="BL114" s="12">
        <f>+Precios!BH112*Precios!BH$3</f>
        <v>0</v>
      </c>
      <c r="BM114" s="12">
        <f>+Precios!BI112*Precios!BI$3</f>
        <v>0</v>
      </c>
      <c r="BN114" s="44">
        <f>+Precios!BJ112*$BN$5</f>
        <v>38543.93</v>
      </c>
      <c r="BO114" s="12">
        <f>+Precios!BK112*$BO$4</f>
        <v>53693.64</v>
      </c>
      <c r="BQ114" s="12">
        <f>+Precios!BM112*Precios!BM$3</f>
        <v>52292.88</v>
      </c>
      <c r="BR114" s="12">
        <f>+Precios!BN112*$BR$4</f>
        <v>60016</v>
      </c>
      <c r="BT114" s="12">
        <f>+Precios!BP112*$BT$4</f>
        <v>53237.67</v>
      </c>
      <c r="BU114" s="50">
        <f>+Precios!BQ112*$BU$4</f>
        <v>34300.559999999998</v>
      </c>
      <c r="BV114" s="12">
        <f>+Precios!BR112*$BV$4</f>
        <v>49427.56</v>
      </c>
      <c r="BW114" s="12">
        <f>+Precios!BS112*Precios!BS$3</f>
        <v>53244.240000000005</v>
      </c>
      <c r="BX114" s="12">
        <f>+Precios!BT112*Precios!BT$3</f>
        <v>53466.64</v>
      </c>
      <c r="BY114" s="12">
        <f>+Precios!BU112*Precios!BU$3</f>
        <v>53455.35</v>
      </c>
    </row>
    <row r="115" spans="1:77" ht="15" thickBot="1">
      <c r="A115" s="5">
        <f>+SUM(F115:XFD115)</f>
        <v>653084.26999999979</v>
      </c>
      <c r="B115" s="26">
        <f>+TRACK!M71+TRACK!M72</f>
        <v>2329.5199999999995</v>
      </c>
      <c r="C115" s="5">
        <f t="shared" si="2"/>
        <v>53004.935499999978</v>
      </c>
      <c r="D115" s="5">
        <f>1000000+C115-Cost!A115</f>
        <v>514717.75549999985</v>
      </c>
      <c r="E115" s="15">
        <f>+Precios!A113</f>
        <v>46129</v>
      </c>
      <c r="F115" s="12">
        <f>+Precios!B113*Precios!B$3</f>
        <v>0</v>
      </c>
      <c r="G115" s="12">
        <f>+Precios!C113*Precios!C$3</f>
        <v>0</v>
      </c>
      <c r="H115" s="12">
        <f>+Precios!D113*Precios!D$3</f>
        <v>0</v>
      </c>
      <c r="I115" s="12">
        <f>+Precios!E113*Precios!E$3</f>
        <v>0</v>
      </c>
      <c r="J115" s="12">
        <f>+Precios!F113*Precios!F$3</f>
        <v>0</v>
      </c>
      <c r="K115" s="12">
        <f>+Precios!G113*Precios!G$3</f>
        <v>0</v>
      </c>
      <c r="L115" s="12">
        <f>+Precios!H113*Precios!H$3</f>
        <v>0</v>
      </c>
      <c r="M115" s="12">
        <f>+Precios!I113*Precios!I$3</f>
        <v>0</v>
      </c>
      <c r="N115" s="12">
        <f>+Precios!J113*Precios!J$3</f>
        <v>0</v>
      </c>
      <c r="O115" s="12">
        <f>+Precios!K113*Precios!K$3</f>
        <v>0</v>
      </c>
      <c r="P115" s="12">
        <f>+Precios!L113*Precios!L$3</f>
        <v>0</v>
      </c>
      <c r="Q115" s="12">
        <f>+Precios!M113*Precios!M$3</f>
        <v>0</v>
      </c>
      <c r="R115" s="12">
        <f>+Precios!N113*Precios!N$3</f>
        <v>0</v>
      </c>
      <c r="S115" s="12">
        <f>+Precios!O113*Precios!O$3</f>
        <v>0</v>
      </c>
      <c r="T115" s="12">
        <f>+Precios!P113*Precios!P$3</f>
        <v>0</v>
      </c>
      <c r="U115" s="12">
        <f>+Precios!Q113*Precios!Q$3</f>
        <v>0</v>
      </c>
      <c r="V115" s="12">
        <f>+Precios!R113*Precios!R$3</f>
        <v>0</v>
      </c>
      <c r="W115" s="12">
        <f>+Precios!S113*Precios!S$3</f>
        <v>0</v>
      </c>
      <c r="X115" s="12">
        <f>+Precios!T113*Precios!T$3</f>
        <v>0</v>
      </c>
      <c r="Y115" s="12">
        <f>+Precios!U113*Precios!U$3</f>
        <v>0</v>
      </c>
      <c r="Z115" s="12">
        <f>+Precios!V113*Precios!V$3</f>
        <v>0</v>
      </c>
      <c r="AA115" s="12">
        <f>+Precios!W113*Precios!W$3</f>
        <v>0</v>
      </c>
      <c r="AB115" s="12">
        <f>+Precios!X113*Precios!X$3</f>
        <v>0</v>
      </c>
      <c r="AC115" s="12">
        <f>+Precios!Y113*Precios!Y$3</f>
        <v>0</v>
      </c>
      <c r="AD115" s="12">
        <f>+Precios!Z113*Precios!Z$3</f>
        <v>0</v>
      </c>
      <c r="AE115" s="12">
        <f>+Precios!AA113*Precios!AA$3</f>
        <v>0</v>
      </c>
      <c r="AF115" s="12">
        <f>+Precios!AB113*Precios!AB$3</f>
        <v>0</v>
      </c>
      <c r="AG115" s="12">
        <f>+Precios!AC113*Precios!AC$3</f>
        <v>0</v>
      </c>
      <c r="AH115" s="12">
        <f>+Precios!AD113*Precios!AD$3</f>
        <v>0</v>
      </c>
      <c r="AI115" s="12">
        <f>+Precios!AE113*Precios!AE$3</f>
        <v>0</v>
      </c>
      <c r="AJ115" s="12">
        <f>+Precios!AF113*Precios!AF$3</f>
        <v>0</v>
      </c>
      <c r="AK115" s="12">
        <f>+Precios!AG113*Precios!AG$3</f>
        <v>0</v>
      </c>
      <c r="AL115" s="12">
        <f>+Precios!AH113*Precios!AH$3</f>
        <v>0</v>
      </c>
      <c r="AM115" s="12">
        <f>+Precios!AI113*Precios!AI$3</f>
        <v>0</v>
      </c>
      <c r="AN115" s="12">
        <f>+Precios!AJ113*Precios!AJ$3</f>
        <v>0</v>
      </c>
      <c r="AO115" s="12">
        <f>+Precios!AK113*Precios!AK$3</f>
        <v>0</v>
      </c>
      <c r="AP115" s="12">
        <f>+Precios!AL113*Precios!AL$3</f>
        <v>0</v>
      </c>
      <c r="AQ115" s="12">
        <f>+Precios!AM113*Precios!AM$3</f>
        <v>0</v>
      </c>
      <c r="AR115" s="12">
        <f>+Precios!AN113*Precios!AN$3</f>
        <v>0</v>
      </c>
      <c r="AS115" s="12">
        <f>+Precios!AO113*Precios!AO$3</f>
        <v>0</v>
      </c>
      <c r="AT115" s="12">
        <f>+Precios!AP113*Precios!AP$3</f>
        <v>0</v>
      </c>
      <c r="AU115" s="12">
        <f>+Precios!AQ113*Precios!AQ$3</f>
        <v>0</v>
      </c>
      <c r="AV115" s="12">
        <f>+Precios!AR113*Precios!AR$3</f>
        <v>0</v>
      </c>
      <c r="AW115" s="12">
        <f>+Precios!AS113*Precios!AS$3</f>
        <v>0</v>
      </c>
      <c r="AX115" s="12">
        <f>+Precios!AT113*Precios!AT$3</f>
        <v>0</v>
      </c>
      <c r="AY115" s="12">
        <f>+Precios!AU113*$AY$4</f>
        <v>30406.14</v>
      </c>
      <c r="AZ115" s="12">
        <f>+Precios!AV113*Precios!AV$3</f>
        <v>0</v>
      </c>
      <c r="BA115" s="12">
        <f>+Precios!AW113*Precios!AW$3</f>
        <v>0</v>
      </c>
      <c r="BB115" s="12">
        <f>+Precios!AX113*Precios!AX$3</f>
        <v>0</v>
      </c>
      <c r="BC115" s="12">
        <f>+Precios!AY113*Precios!AY$3</f>
        <v>0</v>
      </c>
      <c r="BD115" s="12">
        <f>+Precios!AZ113*Precios!AZ$3</f>
        <v>0</v>
      </c>
      <c r="BE115" s="12">
        <f>+Precios!BA113*Precios!BA$3</f>
        <v>0</v>
      </c>
      <c r="BF115" s="12">
        <f>+Precios!BB113*Precios!BB$3</f>
        <v>0</v>
      </c>
      <c r="BG115" s="12">
        <f>+Precios!BC113*Precios!BC$3</f>
        <v>0</v>
      </c>
      <c r="BH115" s="12">
        <f>+Precios!BD113*$BH$4</f>
        <v>59986.420000000006</v>
      </c>
      <c r="BI115" s="12">
        <f>+Precios!BE113*Precios!BE$3</f>
        <v>0</v>
      </c>
      <c r="BJ115" s="12">
        <f>+Precios!BF113*Precios!BF$3</f>
        <v>56665.100000000006</v>
      </c>
      <c r="BK115" s="12">
        <f>+Precios!BG113*Precios!BG$3</f>
        <v>0</v>
      </c>
      <c r="BL115" s="12">
        <f>+Precios!BH113*Precios!BH$3</f>
        <v>0</v>
      </c>
      <c r="BM115" s="12">
        <f>+Precios!BI113*Precios!BI$3</f>
        <v>0</v>
      </c>
      <c r="BN115" s="12">
        <f>+Precios!BJ113*$BN$5</f>
        <v>40370.409999999996</v>
      </c>
      <c r="BO115" s="50">
        <f>+Precios!BK113*$BO$5</f>
        <v>50807.619999999995</v>
      </c>
      <c r="BQ115" s="12">
        <f>+Precios!BM113*Precios!BM$3</f>
        <v>55210.35</v>
      </c>
      <c r="BR115" s="12">
        <f>+Precios!BN113*$BR$4</f>
        <v>60675.999999999993</v>
      </c>
      <c r="BT115" s="12">
        <f>+Precios!BP113*$BT$4</f>
        <v>56904.480000000003</v>
      </c>
      <c r="BU115" s="12">
        <f>+Precios!BQ113*$BU$4</f>
        <v>34228.5</v>
      </c>
      <c r="BV115" s="50">
        <f>+Precios!BR113*$BV$5</f>
        <v>43138.92</v>
      </c>
      <c r="BW115" s="12">
        <f>+Precios!BS113*Precios!BS$3</f>
        <v>54687.439999999995</v>
      </c>
      <c r="BX115" s="12">
        <f>+Precios!BT113*Precios!BT$3</f>
        <v>55541.08</v>
      </c>
      <c r="BY115" s="12">
        <f>+Precios!BU113*Precios!BU$3</f>
        <v>54461.81</v>
      </c>
    </row>
    <row r="116" spans="1:77" ht="15" thickBot="1">
      <c r="B116" s="26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BJ116" s="12">
        <f>+Precios!BF114*Precios!BF$3</f>
        <v>0</v>
      </c>
    </row>
    <row r="117" spans="1:77" ht="15" thickBot="1">
      <c r="B117" s="26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</row>
    <row r="118" spans="1:77" ht="15" thickBot="1">
      <c r="B118" s="26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</row>
    <row r="119" spans="1:77" ht="15" thickBot="1">
      <c r="B119" s="26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</row>
    <row r="120" spans="1:77" ht="15" thickBot="1">
      <c r="B120" s="26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</row>
    <row r="121" spans="1:77" ht="15" thickBot="1">
      <c r="B121" s="26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</row>
    <row r="122" spans="1:77" ht="15" thickBot="1">
      <c r="B122" s="26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</row>
    <row r="123" spans="1:77" ht="15" thickBot="1">
      <c r="B123" s="26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</row>
    <row r="124" spans="1:77" ht="15" thickBot="1">
      <c r="B124" s="26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</row>
    <row r="125" spans="1:77" ht="15" thickBot="1">
      <c r="B125" s="26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</row>
    <row r="126" spans="1:77" ht="15" thickBot="1">
      <c r="B126" s="26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</row>
    <row r="127" spans="1:77" ht="15" thickBot="1">
      <c r="B127" s="26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</row>
    <row r="128" spans="1:77" ht="15" thickBot="1">
      <c r="B128" s="26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</row>
    <row r="129" spans="2:44" ht="15" thickBot="1">
      <c r="B129" s="26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</row>
    <row r="130" spans="2:44" ht="15" thickBot="1">
      <c r="B130" s="26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spans="2:44" ht="15" thickBot="1">
      <c r="B131" s="26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spans="2:44" ht="15" thickBot="1">
      <c r="B132" s="26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spans="2:44" ht="15" thickBot="1">
      <c r="B133" s="26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spans="2:44" ht="15" thickBot="1">
      <c r="B134" s="26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spans="2:44" ht="15" thickBot="1">
      <c r="B135" s="26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spans="2:44" ht="15" thickBot="1">
      <c r="B136" s="26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spans="2:44" ht="15" thickBot="1">
      <c r="B137" s="26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spans="2:44" ht="15" thickBot="1">
      <c r="B138" s="26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spans="2:44" ht="15" thickBot="1">
      <c r="B139" s="26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spans="2:44" ht="15" thickBot="1">
      <c r="B140" s="26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spans="2:44" ht="15" thickBot="1">
      <c r="B141" s="26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spans="2:44" ht="15" thickBot="1">
      <c r="B142" s="26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spans="2:44" ht="15" thickBot="1">
      <c r="B143" s="26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spans="2:44" ht="15" thickBot="1">
      <c r="B144" s="26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spans="2:44" ht="15" thickBot="1">
      <c r="B145" s="26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spans="2:44" ht="15" thickBot="1">
      <c r="B146" s="26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spans="2:44" ht="15" thickBot="1">
      <c r="B147" s="26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spans="2:44" ht="15" thickBot="1">
      <c r="B148" s="26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spans="2:44" ht="15" thickBot="1">
      <c r="B149" s="26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spans="2:44" ht="15" thickBot="1">
      <c r="B150" s="26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spans="2:44" ht="15" thickBot="1">
      <c r="B151" s="26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spans="2:44" ht="15" thickBot="1">
      <c r="B152" s="26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spans="2:44" ht="15" thickBot="1">
      <c r="B153" s="26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spans="2:44" ht="15" thickBot="1">
      <c r="B154" s="26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spans="2:44" ht="15" thickBot="1">
      <c r="B155" s="26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spans="2:44" ht="15" thickBot="1">
      <c r="B156" s="26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spans="2:44" ht="15" thickBot="1">
      <c r="B157" s="26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spans="2:44" ht="15" thickBot="1">
      <c r="B158" s="26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spans="2:44" ht="15" thickBot="1">
      <c r="B159" s="26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spans="2:44" ht="15" thickBot="1">
      <c r="B160" s="26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spans="2:44" ht="15" thickBot="1">
      <c r="B161" s="26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spans="2:44" ht="15" thickBot="1">
      <c r="B162" s="26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spans="2:44" ht="15" thickBot="1">
      <c r="B163" s="26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spans="2:44" ht="15" thickBot="1">
      <c r="B164" s="26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2:44" ht="15" thickBot="1">
      <c r="B165" s="26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spans="2:44" ht="15" thickBot="1">
      <c r="B166" s="26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spans="2:44" ht="15" thickBot="1">
      <c r="B167" s="26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spans="2:44" ht="15" thickBot="1">
      <c r="B168" s="26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spans="2:44" ht="15" thickBot="1">
      <c r="B169" s="26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spans="2:44" ht="15" thickBot="1">
      <c r="B170" s="26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spans="2:44" ht="15" thickBot="1">
      <c r="B171" s="26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spans="2:44" ht="15" thickBot="1">
      <c r="B172" s="26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spans="2:44" ht="15" thickBot="1">
      <c r="B173" s="26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spans="2:44" ht="15" thickBot="1">
      <c r="B174" s="26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spans="2:44" ht="15" thickBot="1">
      <c r="B175" s="26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spans="2:44" ht="15" thickBot="1">
      <c r="B176" s="26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spans="2:44" ht="15" thickBot="1">
      <c r="B177" s="26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spans="2:44" ht="15" thickBot="1">
      <c r="B178" s="26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spans="2:44" ht="15" thickBot="1">
      <c r="B179" s="26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spans="2:44" ht="15" thickBot="1">
      <c r="B180" s="26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spans="2:44" ht="15" thickBot="1">
      <c r="B181" s="26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spans="2:44" ht="15" thickBot="1">
      <c r="B182" s="26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spans="2:44" ht="15" thickBot="1">
      <c r="B183" s="26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spans="2:44" ht="15" thickBot="1">
      <c r="B184" s="26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spans="2:44" ht="15" thickBot="1">
      <c r="B185" s="26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spans="2:44" ht="15" thickBot="1">
      <c r="B186" s="26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spans="2:44" ht="15" thickBot="1">
      <c r="B187" s="26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spans="2:44" ht="15" thickBot="1">
      <c r="B188" s="26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spans="2:44" ht="15" thickBot="1">
      <c r="B189" s="26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spans="2:44" ht="15" thickBot="1">
      <c r="B190" s="26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spans="2:44" ht="15" thickBot="1">
      <c r="B191" s="26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spans="2:44" ht="15" thickBot="1">
      <c r="B192" s="26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spans="2:44" ht="15" thickBot="1">
      <c r="B193" s="26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spans="2:44" ht="15" thickBot="1">
      <c r="B194" s="26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spans="2:44" ht="15" thickBot="1">
      <c r="B195" s="26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spans="2:44" ht="15" thickBot="1">
      <c r="B196" s="26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spans="2:44" ht="15" thickBot="1">
      <c r="B197" s="26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spans="2:44" ht="15" thickBot="1">
      <c r="B198" s="26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spans="2:44" ht="15" thickBot="1">
      <c r="B199" s="26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spans="2:44" ht="15" thickBot="1">
      <c r="B200" s="26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spans="2:44" ht="15" thickBot="1">
      <c r="B201" s="26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spans="2:44" ht="15" thickBot="1">
      <c r="B202" s="26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spans="2:44" ht="15" thickBot="1">
      <c r="B203" s="26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spans="2:44" ht="15" thickBot="1">
      <c r="B204" s="26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spans="2:44" ht="15" thickBot="1">
      <c r="B205" s="26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spans="2:44" ht="15" thickBot="1">
      <c r="B206" s="26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spans="2:44" ht="15" thickBot="1">
      <c r="B207" s="26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spans="2:44" ht="15" thickBot="1">
      <c r="B208" s="26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spans="2:44" ht="15" thickBot="1">
      <c r="B209" s="26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spans="2:44" ht="15" thickBot="1">
      <c r="B210" s="26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spans="2:44" ht="15" thickBot="1">
      <c r="B211" s="26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spans="2:44" ht="15" thickBot="1">
      <c r="B212" s="26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spans="2:44" ht="15" thickBot="1">
      <c r="B213" s="26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spans="2:44" ht="15" thickBot="1">
      <c r="B214" s="26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spans="2:44" ht="15" thickBot="1">
      <c r="B215" s="26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spans="2:44" ht="15" thickBot="1">
      <c r="B216" s="26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spans="2:44" ht="15" thickBot="1">
      <c r="B217" s="26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spans="2:44" ht="15" thickBot="1">
      <c r="B218" s="26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spans="2:44" ht="15" thickBot="1">
      <c r="B219" s="26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spans="2:44" ht="15" thickBot="1">
      <c r="B220" s="26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spans="2:44" ht="15" thickBot="1">
      <c r="B221" s="26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spans="2:44" ht="15" thickBot="1">
      <c r="B222" s="26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spans="2:44" ht="15" thickBot="1">
      <c r="B223" s="26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spans="2:44" ht="15" thickBot="1">
      <c r="B224" s="26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spans="2:44" ht="15" thickBot="1">
      <c r="B225" s="26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spans="2:44" ht="15" thickBot="1">
      <c r="B226" s="26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spans="2:44" ht="15" thickBot="1">
      <c r="B227" s="26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spans="2:44" ht="15" thickBot="1">
      <c r="B228" s="26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spans="2:44" ht="15" thickBot="1">
      <c r="B229" s="26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spans="2:44" ht="15" thickBot="1">
      <c r="B230" s="26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spans="2:44" ht="15" thickBot="1">
      <c r="B231" s="26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spans="2:44" ht="15" thickBot="1">
      <c r="B232" s="26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spans="2:44" ht="15" thickBot="1">
      <c r="B233" s="26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spans="2:44" ht="15" thickBot="1">
      <c r="B234" s="26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spans="2:44" ht="15" thickBot="1">
      <c r="B235" s="26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spans="2:44" ht="15" thickBot="1">
      <c r="B236" s="26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spans="2:44" ht="15" thickBot="1">
      <c r="B237" s="26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spans="2:44" ht="15" thickBot="1">
      <c r="B238" s="26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spans="2:44" ht="15" thickBot="1">
      <c r="B239" s="26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spans="2:44" ht="15" thickBot="1">
      <c r="B240" s="26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spans="2:44" ht="15" thickBot="1">
      <c r="B241" s="26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spans="2:44" ht="15" thickBot="1">
      <c r="B242" s="26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spans="2:44" ht="15" thickBot="1">
      <c r="B243" s="26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spans="2:44" ht="15" thickBot="1">
      <c r="B244" s="26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spans="2:44" ht="15" thickBot="1">
      <c r="B245" s="26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spans="2:44" ht="15" thickBot="1">
      <c r="B246" s="26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spans="2:44" ht="15" thickBot="1">
      <c r="B247" s="26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spans="2:44" ht="15" thickBot="1">
      <c r="B248" s="26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spans="2:44" ht="15" thickBot="1">
      <c r="B249" s="26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spans="2:44" ht="15" thickBot="1">
      <c r="B250" s="26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spans="2:44" ht="15" thickBot="1">
      <c r="B251" s="26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spans="2:44" ht="15" thickBot="1">
      <c r="B252" s="26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spans="2:44" ht="15" thickBot="1">
      <c r="B253" s="26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spans="2:44" ht="15" thickBot="1">
      <c r="B254" s="26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spans="2:44" ht="15" thickBot="1">
      <c r="B255" s="26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spans="2:44" ht="15" thickBot="1">
      <c r="B256" s="26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spans="2:44" ht="15" thickBot="1">
      <c r="B257" s="26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spans="2:44" ht="15" thickBot="1">
      <c r="B258" s="26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spans="2:44" ht="15" thickBot="1">
      <c r="B259" s="26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spans="2:44" ht="15" thickBot="1">
      <c r="B260" s="26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spans="2:44" ht="15" thickBot="1">
      <c r="B261" s="26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spans="2:44" ht="15" thickBot="1">
      <c r="B262" s="26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spans="2:44" ht="15" thickBot="1">
      <c r="B263" s="26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spans="2:44" ht="15" thickBot="1">
      <c r="B264" s="26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spans="2:44" ht="15" thickBot="1">
      <c r="B265" s="26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spans="2:44" ht="15" thickBot="1">
      <c r="B266" s="26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spans="2:44" ht="15" thickBot="1">
      <c r="B267" s="26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spans="2:44" ht="15" thickBot="1">
      <c r="B268" s="26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spans="2:44" ht="15" thickBot="1">
      <c r="B269" s="26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spans="2:44" ht="15" thickBot="1">
      <c r="B270" s="26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spans="2:44" ht="15" thickBot="1">
      <c r="B271" s="26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spans="2:44" ht="15" thickBot="1">
      <c r="B272" s="26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spans="2:44" ht="15" thickBot="1">
      <c r="B273" s="26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spans="2:44" ht="15" thickBot="1">
      <c r="B274" s="26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spans="2:44" ht="15" thickBot="1">
      <c r="B275" s="26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spans="2:44" ht="15" thickBot="1">
      <c r="B276" s="26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spans="2:44" ht="15" thickBot="1">
      <c r="B277" s="26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spans="2:44" ht="15" thickBot="1">
      <c r="B278" s="26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spans="2:44" ht="15" thickBot="1">
      <c r="B279" s="26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spans="2:44" ht="15" thickBot="1">
      <c r="B280" s="26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spans="2:44" ht="15" thickBot="1">
      <c r="B281" s="26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spans="2:44" ht="15" thickBot="1">
      <c r="B282" s="26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spans="2:44" ht="15" thickBot="1">
      <c r="B283" s="26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spans="2:44" ht="15" thickBot="1">
      <c r="B284" s="26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spans="2:44" ht="15" thickBot="1">
      <c r="B285" s="26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spans="2:44" ht="15" thickBot="1">
      <c r="B286" s="26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spans="2:44" ht="15" thickBot="1">
      <c r="B287" s="26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spans="2:44" ht="15" thickBot="1">
      <c r="B288" s="26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spans="2:44" ht="15" thickBot="1">
      <c r="B289" s="26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spans="2:44" ht="15" thickBot="1">
      <c r="B290" s="26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spans="2:44" ht="15" thickBot="1">
      <c r="B291" s="26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spans="2:44" ht="15" thickBot="1">
      <c r="B292" s="26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spans="2:44" ht="15" thickBot="1">
      <c r="B293" s="26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spans="2:44" ht="15" thickBot="1">
      <c r="B294" s="26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spans="2:44" ht="15" thickBot="1">
      <c r="B295" s="26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spans="2:44" ht="15" thickBot="1">
      <c r="B296" s="26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spans="2:44" ht="15" thickBot="1">
      <c r="B297" s="26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spans="2:44" ht="15" thickBot="1">
      <c r="B298" s="26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spans="2:44" ht="15" thickBot="1">
      <c r="B299" s="26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spans="2:44" ht="15" thickBot="1">
      <c r="B300" s="26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spans="2:44" ht="15" thickBot="1">
      <c r="B301" s="26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spans="2:44" ht="15" thickBot="1">
      <c r="B302" s="26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spans="2:44" ht="15" thickBot="1">
      <c r="B303" s="26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spans="2:44" ht="15" thickBot="1">
      <c r="B304" s="26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spans="2:44" ht="15" thickBot="1">
      <c r="B305" s="26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spans="2:44" ht="15" thickBot="1">
      <c r="B306" s="26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spans="2:44" ht="15" thickBot="1">
      <c r="B307" s="26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spans="2:44" ht="15" thickBot="1">
      <c r="B308" s="26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spans="2:44" ht="15" thickBot="1">
      <c r="B309" s="26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spans="2:44" ht="15" thickBot="1">
      <c r="B310" s="26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spans="2:44" ht="15" thickBot="1">
      <c r="B311" s="26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spans="2:44" ht="15" thickBot="1">
      <c r="B312" s="26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spans="2:44" ht="15" thickBot="1">
      <c r="B313" s="26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spans="2:44" ht="15" thickBot="1">
      <c r="B314" s="26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spans="2:44" ht="15" thickBot="1">
      <c r="B315" s="26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spans="2:44" ht="15" thickBot="1">
      <c r="B316" s="26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spans="2:44" ht="15" thickBot="1">
      <c r="B317" s="26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spans="2:44" ht="15" thickBot="1">
      <c r="B318" s="26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spans="2:44" ht="15" thickBot="1">
      <c r="B319" s="26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spans="2:44" ht="15" thickBot="1">
      <c r="B320" s="26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spans="2:44" ht="15" thickBot="1">
      <c r="B321" s="26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spans="2:44" ht="15" thickBot="1">
      <c r="B322" s="26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spans="2:44" ht="15" thickBot="1">
      <c r="B323" s="26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spans="2:44" ht="15" thickBot="1">
      <c r="B324" s="26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spans="2:44" ht="15" thickBot="1">
      <c r="B325" s="26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spans="2:44" ht="15" thickBot="1">
      <c r="B326" s="26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spans="2:44" ht="15" thickBot="1">
      <c r="B327" s="26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spans="2:44" ht="15" thickBot="1">
      <c r="B328" s="26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spans="2:44" ht="15" thickBot="1">
      <c r="B329" s="26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spans="2:44" ht="15" thickBot="1">
      <c r="B330" s="26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spans="2:44" ht="15" thickBot="1">
      <c r="B331" s="26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spans="2:44" ht="15" thickBot="1">
      <c r="B332" s="26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spans="2:44" ht="15" thickBot="1">
      <c r="B333" s="26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spans="2:44" ht="15" thickBot="1">
      <c r="B334" s="26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spans="2:44" ht="15" thickBot="1">
      <c r="B335" s="26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spans="2:44" ht="15" thickBot="1">
      <c r="B336" s="26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spans="2:44" ht="15" thickBot="1">
      <c r="B337" s="26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spans="2:44" ht="15" thickBot="1">
      <c r="B338" s="26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spans="2:44" ht="15" thickBot="1">
      <c r="B339" s="26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spans="2:44" ht="15" thickBot="1">
      <c r="B340" s="26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spans="2:44" ht="15" thickBot="1">
      <c r="B341" s="26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spans="2:44" ht="15" thickBot="1">
      <c r="B342" s="26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spans="2:44" ht="15" thickBot="1">
      <c r="B343" s="26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spans="2:44" ht="15" thickBot="1">
      <c r="B344" s="26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spans="2:44" ht="15" thickBot="1">
      <c r="B345" s="26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spans="2:44" ht="15" thickBot="1">
      <c r="B346" s="26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spans="2:44" ht="15" thickBot="1">
      <c r="B347" s="26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spans="2:44" ht="15" thickBot="1">
      <c r="B348" s="26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spans="2:44" ht="15" thickBot="1">
      <c r="B349" s="26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spans="2:44" ht="15" thickBot="1">
      <c r="B350" s="26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spans="2:44" ht="15" thickBot="1">
      <c r="B351" s="26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spans="2:44" ht="15" thickBot="1">
      <c r="B352" s="26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spans="2:44" ht="15" thickBot="1">
      <c r="B353" s="26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spans="2:44" ht="15" thickBot="1">
      <c r="B354" s="26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spans="2:44" ht="15" thickBot="1">
      <c r="B355" s="26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spans="2:44" ht="15" thickBot="1">
      <c r="B356" s="26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spans="2:44" ht="15" thickBot="1">
      <c r="B357" s="26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spans="2:44" ht="15" thickBot="1">
      <c r="B358" s="26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spans="2:44" ht="15" thickBot="1">
      <c r="B359" s="26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spans="2:44" ht="15" thickBot="1">
      <c r="B360" s="26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spans="2:44" ht="15" thickBot="1">
      <c r="B361" s="26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spans="2:44" ht="15" thickBot="1">
      <c r="B362" s="26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spans="2:44" ht="15" thickBot="1">
      <c r="B363" s="26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spans="2:44" ht="15" thickBot="1">
      <c r="B364" s="26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spans="2:44" ht="15" thickBot="1">
      <c r="B365" s="26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spans="2:44" ht="15" thickBot="1">
      <c r="B366" s="26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spans="2:44" ht="15" thickBot="1">
      <c r="B367" s="26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spans="2:44" ht="15" thickBot="1">
      <c r="B368" s="26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spans="2:44" ht="15" thickBot="1">
      <c r="B369" s="26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spans="2:44" ht="15" thickBot="1">
      <c r="B370" s="26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spans="2:44" ht="15" thickBot="1">
      <c r="B371" s="26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spans="2:44" ht="15" thickBot="1">
      <c r="B372" s="26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spans="2:44" ht="15" thickBot="1">
      <c r="B373" s="26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spans="2:44" ht="15" thickBot="1">
      <c r="B374" s="26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spans="2:44" ht="15" thickBot="1">
      <c r="B375" s="26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spans="2:44" ht="15" thickBot="1">
      <c r="B376" s="26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spans="2:44" ht="15" thickBot="1">
      <c r="B377" s="26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spans="2:44" ht="15" thickBot="1">
      <c r="B378" s="26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spans="2:44" ht="15" thickBot="1">
      <c r="B379" s="26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spans="2:44" ht="15" thickBot="1">
      <c r="B380" s="26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spans="2:44" ht="15" thickBot="1">
      <c r="B381" s="26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spans="2:44" ht="15" thickBot="1">
      <c r="B382" s="26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spans="2:44" ht="15" thickBot="1">
      <c r="B383" s="26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spans="2:44" ht="15" thickBot="1">
      <c r="B384" s="26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spans="2:44" ht="15" thickBot="1">
      <c r="B385" s="26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spans="2:44" ht="15" thickBot="1">
      <c r="B386" s="26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spans="2:44" ht="15" thickBot="1">
      <c r="B387" s="26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spans="2:44" ht="15" thickBot="1">
      <c r="B388" s="26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spans="2:44" ht="15" thickBot="1">
      <c r="B389" s="26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spans="2:44" ht="15" thickBot="1">
      <c r="B390" s="26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spans="2:44" ht="15" thickBot="1">
      <c r="B391" s="26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spans="2:44" ht="15" thickBot="1">
      <c r="B392" s="26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spans="2:44" ht="15" thickBot="1">
      <c r="B393" s="26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spans="2:44" ht="15" thickBot="1">
      <c r="B394" s="26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spans="2:44" ht="15" thickBot="1">
      <c r="B395" s="26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spans="2:44" ht="15" thickBot="1">
      <c r="B396" s="26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spans="2:44" ht="15" thickBot="1">
      <c r="B397" s="26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spans="2:44" ht="15" thickBot="1">
      <c r="B398" s="26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spans="2:44" ht="15" thickBot="1">
      <c r="B399" s="26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spans="2:44" ht="15" thickBot="1">
      <c r="B400" s="26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spans="2:44" ht="15" thickBot="1">
      <c r="B401" s="26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spans="2:44" ht="15" thickBot="1">
      <c r="B402" s="26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spans="2:44" ht="15" thickBot="1">
      <c r="B403" s="26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spans="2:44" ht="15" thickBot="1">
      <c r="B404" s="26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spans="2:44" ht="15" thickBot="1">
      <c r="B405" s="26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spans="2:44" ht="15" thickBot="1">
      <c r="B406" s="26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spans="2:44" ht="15" thickBot="1">
      <c r="B407" s="26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spans="2:44" ht="15" thickBot="1">
      <c r="B408" s="26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spans="2:44" ht="15" thickBot="1">
      <c r="B409" s="26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spans="2:44" ht="15" thickBot="1">
      <c r="B410" s="26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spans="2:44" ht="15" thickBot="1">
      <c r="B411" s="26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spans="2:44" ht="15" thickBot="1">
      <c r="B412" s="26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spans="2:44" ht="15" thickBot="1">
      <c r="B413" s="26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spans="2:44" ht="15" thickBot="1">
      <c r="B414" s="26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spans="2:44" ht="15" thickBot="1">
      <c r="B415" s="26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spans="2:44" ht="15" thickBot="1">
      <c r="B416" s="26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spans="2:44" ht="15" thickBot="1">
      <c r="B417" s="26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spans="2:44" ht="15" thickBot="1">
      <c r="B418" s="26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spans="2:44" ht="15" thickBot="1">
      <c r="B419" s="26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spans="2:44" ht="15" thickBot="1">
      <c r="B420" s="26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spans="2:44" ht="15" thickBot="1">
      <c r="B421" s="26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spans="2:44" ht="15" thickBot="1">
      <c r="B422" s="26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spans="2:44" ht="15" thickBot="1">
      <c r="B423" s="26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spans="2:44" ht="15" thickBot="1">
      <c r="B424" s="26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spans="2:44" ht="15" thickBot="1">
      <c r="B425" s="26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spans="2:44" ht="15" thickBot="1">
      <c r="B426" s="26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spans="2:44" ht="15" thickBot="1">
      <c r="B427" s="26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spans="2:44" ht="15" thickBot="1">
      <c r="B428" s="26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spans="2:44" ht="15" thickBot="1">
      <c r="B429" s="26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spans="2:44" ht="15" thickBot="1">
      <c r="B430" s="26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spans="2:44" ht="15" thickBot="1">
      <c r="B431" s="26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spans="2:44" ht="15" thickBot="1">
      <c r="B432" s="26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spans="2:44" ht="15" thickBot="1">
      <c r="B433" s="26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spans="2:44" ht="15" thickBot="1">
      <c r="B434" s="26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spans="2:44" ht="15" thickBot="1">
      <c r="B435" s="26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spans="2:44" ht="15" thickBot="1">
      <c r="B436" s="26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spans="2:44" ht="15" thickBot="1">
      <c r="B437" s="26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spans="2:44" ht="15" thickBot="1">
      <c r="B438" s="26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spans="2:44" ht="15" thickBot="1">
      <c r="B439" s="26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spans="2:44" ht="15" thickBot="1">
      <c r="B440" s="26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spans="2:44" ht="15" thickBot="1">
      <c r="B441" s="26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spans="2:44" ht="15" thickBot="1">
      <c r="B442" s="26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spans="2:44" ht="15" thickBot="1">
      <c r="B443" s="26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spans="2:44" ht="15" thickBot="1">
      <c r="B444" s="26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spans="2:44" ht="15" thickBot="1">
      <c r="B445" s="26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spans="2:44" ht="15" thickBot="1">
      <c r="B446" s="26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spans="2:44" ht="15" thickBot="1">
      <c r="B447" s="26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spans="2:44" ht="15" thickBot="1">
      <c r="B448" s="26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spans="2:44" ht="15" thickBot="1">
      <c r="B449" s="26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spans="2:44" ht="15" thickBot="1">
      <c r="B450" s="26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spans="2:44" ht="15" thickBot="1">
      <c r="B451" s="26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spans="2:44" ht="15" thickBot="1">
      <c r="B452" s="26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spans="2:44" ht="15" thickBot="1">
      <c r="B453" s="26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spans="2:44" ht="15" thickBot="1">
      <c r="B454" s="26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spans="2:44" ht="15" thickBot="1">
      <c r="B455" s="26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spans="2:44" ht="15" thickBot="1">
      <c r="B456" s="26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spans="2:44" ht="15" thickBot="1">
      <c r="B457" s="26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spans="2:44" ht="15" thickBot="1">
      <c r="B458" s="26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spans="2:44" ht="15" thickBot="1">
      <c r="B459" s="26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spans="2:44" ht="15" thickBot="1">
      <c r="B460" s="26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spans="2:44" ht="15" thickBot="1">
      <c r="B461" s="26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spans="2:44" ht="15" thickBot="1">
      <c r="B462" s="26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spans="2:44" ht="15" thickBot="1">
      <c r="B463" s="26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spans="2:44" ht="15" thickBot="1">
      <c r="B464" s="26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spans="2:44" ht="15" thickBot="1">
      <c r="B465" s="26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spans="2:44" ht="15" thickBot="1">
      <c r="B466" s="26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spans="2:44" ht="15" thickBot="1">
      <c r="B467" s="26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spans="2:44" ht="15" thickBot="1">
      <c r="B468" s="26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spans="2:44" ht="15" thickBot="1">
      <c r="B469" s="26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spans="2:44" ht="15" thickBot="1">
      <c r="B470" s="26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spans="2:44" ht="15" thickBot="1">
      <c r="B471" s="26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spans="2:44" ht="15" thickBot="1">
      <c r="B472" s="26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spans="2:44" ht="15" thickBot="1">
      <c r="B473" s="26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spans="2:44" ht="15" thickBot="1">
      <c r="B474" s="26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spans="2:44" ht="15" thickBot="1">
      <c r="B475" s="26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spans="2:44" ht="15" thickBot="1">
      <c r="B476" s="26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spans="2:44" ht="15" thickBot="1">
      <c r="B477" s="26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spans="2:44" ht="15" thickBot="1">
      <c r="B478" s="26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spans="2:44" ht="15" thickBot="1">
      <c r="B479" s="26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spans="2:44" ht="15" thickBot="1">
      <c r="B480" s="26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spans="2:44" ht="15" thickBot="1">
      <c r="B481" s="26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spans="2:44" ht="15" thickBot="1">
      <c r="B482" s="26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spans="2:44" ht="15" thickBot="1">
      <c r="B483" s="26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spans="2:44" ht="15" thickBot="1">
      <c r="B484" s="26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spans="2:44" ht="15" thickBot="1">
      <c r="B485" s="26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spans="2:44" ht="15" thickBot="1">
      <c r="B486" s="26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spans="2:44" ht="15" thickBot="1">
      <c r="B487" s="26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spans="2:44" ht="15" thickBot="1">
      <c r="B488" s="26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spans="2:44" ht="15" thickBot="1">
      <c r="B489" s="26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spans="2:44" ht="15" thickBot="1">
      <c r="B490" s="26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spans="2:44" ht="15" thickBot="1">
      <c r="B491" s="26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spans="2:44" ht="15" thickBot="1">
      <c r="B492" s="26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spans="2:44" ht="15" thickBot="1">
      <c r="B493" s="26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spans="2:44" ht="15" thickBot="1">
      <c r="B494" s="26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spans="2:44" ht="15" thickBot="1">
      <c r="B495" s="26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spans="2:44" ht="15" thickBot="1">
      <c r="B496" s="26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spans="2:44" ht="15" thickBot="1">
      <c r="B497" s="26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spans="2:44" ht="15" thickBot="1">
      <c r="B498" s="26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spans="2:44" ht="15" thickBot="1">
      <c r="B499" s="26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spans="2:44" ht="15" thickBot="1">
      <c r="B500" s="26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  <row r="501" spans="2:44" ht="15" thickBot="1">
      <c r="B501" s="26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  <c r="AL501" s="12"/>
      <c r="AM501" s="12"/>
      <c r="AN501" s="12"/>
      <c r="AO501" s="12"/>
      <c r="AP501" s="12"/>
      <c r="AQ501" s="12"/>
      <c r="AR501" s="12"/>
    </row>
    <row r="502" spans="2:44" ht="15" thickBot="1">
      <c r="B502" s="26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  <c r="AL502" s="12"/>
      <c r="AM502" s="12"/>
      <c r="AN502" s="12"/>
      <c r="AO502" s="12"/>
      <c r="AP502" s="12"/>
      <c r="AQ502" s="12"/>
      <c r="AR502" s="12"/>
    </row>
    <row r="503" spans="2:44" ht="15" thickBot="1">
      <c r="B503" s="26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  <c r="AL503" s="12"/>
      <c r="AM503" s="12"/>
      <c r="AN503" s="12"/>
      <c r="AO503" s="12"/>
      <c r="AP503" s="12"/>
      <c r="AQ503" s="12"/>
      <c r="AR503" s="12"/>
    </row>
    <row r="504" spans="2:44" ht="15" thickBot="1">
      <c r="B504" s="26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  <c r="AL504" s="12"/>
      <c r="AM504" s="12"/>
      <c r="AN504" s="12"/>
      <c r="AO504" s="12"/>
      <c r="AP504" s="12"/>
      <c r="AQ504" s="12"/>
      <c r="AR504" s="12"/>
    </row>
    <row r="505" spans="2:44" ht="15" thickBot="1">
      <c r="B505" s="26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  <c r="AL505" s="12"/>
      <c r="AM505" s="12"/>
      <c r="AN505" s="12"/>
      <c r="AO505" s="12"/>
      <c r="AP505" s="12"/>
      <c r="AQ505" s="12"/>
      <c r="AR505" s="12"/>
    </row>
    <row r="506" spans="2:44" ht="15" thickBot="1">
      <c r="B506" s="26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  <c r="AL506" s="12"/>
      <c r="AM506" s="12"/>
      <c r="AN506" s="12"/>
      <c r="AO506" s="12"/>
      <c r="AP506" s="12"/>
      <c r="AQ506" s="12"/>
      <c r="AR506" s="12"/>
    </row>
    <row r="507" spans="2:44" ht="15" thickBot="1">
      <c r="B507" s="26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  <c r="AL507" s="12"/>
      <c r="AM507" s="12"/>
      <c r="AN507" s="12"/>
      <c r="AO507" s="12"/>
      <c r="AP507" s="12"/>
      <c r="AQ507" s="12"/>
      <c r="AR507" s="12"/>
    </row>
    <row r="508" spans="2:44" ht="15" thickBot="1">
      <c r="B508" s="26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  <c r="AL508" s="12"/>
      <c r="AM508" s="12"/>
      <c r="AN508" s="12"/>
      <c r="AO508" s="12"/>
      <c r="AP508" s="12"/>
      <c r="AQ508" s="12"/>
      <c r="AR508" s="12"/>
    </row>
    <row r="509" spans="2:44" ht="15" thickBot="1">
      <c r="B509" s="26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  <c r="AL509" s="12"/>
      <c r="AM509" s="12"/>
      <c r="AN509" s="12"/>
      <c r="AO509" s="12"/>
      <c r="AP509" s="12"/>
      <c r="AQ509" s="12"/>
      <c r="AR509" s="12"/>
    </row>
    <row r="510" spans="2:44" ht="15" thickBot="1">
      <c r="B510" s="26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  <c r="AL510" s="12"/>
      <c r="AM510" s="12"/>
      <c r="AN510" s="12"/>
      <c r="AO510" s="12"/>
      <c r="AP510" s="12"/>
      <c r="AQ510" s="12"/>
      <c r="AR510" s="12"/>
    </row>
    <row r="511" spans="2:44" ht="15" thickBot="1">
      <c r="B511" s="26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  <c r="AL511" s="12"/>
      <c r="AM511" s="12"/>
      <c r="AN511" s="12"/>
      <c r="AO511" s="12"/>
      <c r="AP511" s="12"/>
      <c r="AQ511" s="12"/>
      <c r="AR511" s="12"/>
    </row>
    <row r="512" spans="2:44" ht="15" thickBot="1">
      <c r="B512" s="26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  <c r="AL512" s="12"/>
      <c r="AM512" s="12"/>
      <c r="AN512" s="12"/>
      <c r="AO512" s="12"/>
      <c r="AP512" s="12"/>
      <c r="AQ512" s="12"/>
      <c r="AR512" s="12"/>
    </row>
    <row r="513" spans="2:44" ht="15" thickBot="1">
      <c r="B513" s="26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  <c r="AL513" s="12"/>
      <c r="AM513" s="12"/>
      <c r="AN513" s="12"/>
      <c r="AO513" s="12"/>
      <c r="AP513" s="12"/>
      <c r="AQ513" s="12"/>
      <c r="AR513" s="12"/>
    </row>
    <row r="514" spans="2:44" ht="15" thickBot="1">
      <c r="B514" s="26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  <c r="AL514" s="12"/>
      <c r="AM514" s="12"/>
      <c r="AN514" s="12"/>
      <c r="AO514" s="12"/>
      <c r="AP514" s="12"/>
      <c r="AQ514" s="12"/>
      <c r="AR514" s="12"/>
    </row>
    <row r="515" spans="2:44" ht="15" thickBot="1">
      <c r="B515" s="26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  <c r="AL515" s="12"/>
      <c r="AM515" s="12"/>
      <c r="AN515" s="12"/>
      <c r="AO515" s="12"/>
      <c r="AP515" s="12"/>
      <c r="AQ515" s="12"/>
      <c r="AR515" s="12"/>
    </row>
    <row r="516" spans="2:44" ht="15" thickBot="1">
      <c r="B516" s="26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  <c r="AL516" s="12"/>
      <c r="AM516" s="12"/>
      <c r="AN516" s="12"/>
      <c r="AO516" s="12"/>
      <c r="AP516" s="12"/>
      <c r="AQ516" s="12"/>
      <c r="AR516" s="12"/>
    </row>
    <row r="517" spans="2:44" ht="15" thickBot="1">
      <c r="B517" s="26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  <c r="AL517" s="12"/>
      <c r="AM517" s="12"/>
      <c r="AN517" s="12"/>
      <c r="AO517" s="12"/>
      <c r="AP517" s="12"/>
      <c r="AQ517" s="12"/>
      <c r="AR517" s="12"/>
    </row>
    <row r="518" spans="2:44" ht="15" thickBot="1">
      <c r="B518" s="26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  <c r="AL518" s="12"/>
      <c r="AM518" s="12"/>
      <c r="AN518" s="12"/>
      <c r="AO518" s="12"/>
      <c r="AP518" s="12"/>
      <c r="AQ518" s="12"/>
      <c r="AR518" s="12"/>
    </row>
    <row r="519" spans="2:44" ht="15" thickBot="1">
      <c r="B519" s="26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  <c r="AL519" s="12"/>
      <c r="AM519" s="12"/>
      <c r="AN519" s="12"/>
      <c r="AO519" s="12"/>
      <c r="AP519" s="12"/>
      <c r="AQ519" s="12"/>
      <c r="AR519" s="12"/>
    </row>
    <row r="520" spans="2:44" ht="15" thickBot="1">
      <c r="B520" s="26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  <c r="AL520" s="12"/>
      <c r="AM520" s="12"/>
      <c r="AN520" s="12"/>
      <c r="AO520" s="12"/>
      <c r="AP520" s="12"/>
      <c r="AQ520" s="12"/>
      <c r="AR520" s="12"/>
    </row>
    <row r="521" spans="2:44" ht="15" thickBot="1">
      <c r="B521" s="26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  <c r="AL521" s="12"/>
      <c r="AM521" s="12"/>
      <c r="AN521" s="12"/>
      <c r="AO521" s="12"/>
      <c r="AP521" s="12"/>
      <c r="AQ521" s="12"/>
      <c r="AR521" s="12"/>
    </row>
    <row r="522" spans="2:44" ht="15" thickBot="1">
      <c r="B522" s="26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  <c r="AL522" s="12"/>
      <c r="AM522" s="12"/>
      <c r="AN522" s="12"/>
      <c r="AO522" s="12"/>
      <c r="AP522" s="12"/>
      <c r="AQ522" s="12"/>
      <c r="AR522" s="12"/>
    </row>
    <row r="523" spans="2:44" ht="15" thickBot="1">
      <c r="B523" s="26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  <c r="AL523" s="12"/>
      <c r="AM523" s="12"/>
      <c r="AN523" s="12"/>
      <c r="AO523" s="12"/>
      <c r="AP523" s="12"/>
      <c r="AQ523" s="12"/>
      <c r="AR523" s="12"/>
    </row>
    <row r="524" spans="2:44" ht="15" thickBot="1">
      <c r="B524" s="26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  <c r="AL524" s="12"/>
      <c r="AM524" s="12"/>
      <c r="AN524" s="12"/>
      <c r="AO524" s="12"/>
      <c r="AP524" s="12"/>
      <c r="AQ524" s="12"/>
      <c r="AR524" s="12"/>
    </row>
    <row r="525" spans="2:44" ht="15" thickBot="1">
      <c r="B525" s="26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  <c r="AL525" s="12"/>
      <c r="AM525" s="12"/>
      <c r="AN525" s="12"/>
      <c r="AO525" s="12"/>
      <c r="AP525" s="12"/>
      <c r="AQ525" s="12"/>
      <c r="AR525" s="12"/>
    </row>
    <row r="526" spans="2:44" ht="15" thickBot="1">
      <c r="B526" s="26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  <c r="AL526" s="12"/>
      <c r="AM526" s="12"/>
      <c r="AN526" s="12"/>
      <c r="AO526" s="12"/>
      <c r="AP526" s="12"/>
      <c r="AQ526" s="12"/>
      <c r="AR526" s="12"/>
    </row>
    <row r="527" spans="2:44" ht="15" thickBot="1">
      <c r="B527" s="26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  <c r="AL527" s="12"/>
      <c r="AM527" s="12"/>
      <c r="AN527" s="12"/>
      <c r="AO527" s="12"/>
      <c r="AP527" s="12"/>
      <c r="AQ527" s="12"/>
      <c r="AR527" s="12"/>
    </row>
    <row r="528" spans="2:44" ht="15" thickBot="1">
      <c r="B528" s="26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  <c r="AL528" s="12"/>
      <c r="AM528" s="12"/>
      <c r="AN528" s="12"/>
      <c r="AO528" s="12"/>
      <c r="AP528" s="12"/>
      <c r="AQ528" s="12"/>
      <c r="AR528" s="12"/>
    </row>
    <row r="529" spans="2:44" ht="15" thickBot="1">
      <c r="B529" s="26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  <c r="AL529" s="12"/>
      <c r="AM529" s="12"/>
      <c r="AN529" s="12"/>
      <c r="AO529" s="12"/>
      <c r="AP529" s="12"/>
      <c r="AQ529" s="12"/>
      <c r="AR529" s="12"/>
    </row>
    <row r="530" spans="2:44" ht="15" thickBot="1">
      <c r="B530" s="26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  <c r="AL530" s="12"/>
      <c r="AM530" s="12"/>
      <c r="AN530" s="12"/>
      <c r="AO530" s="12"/>
      <c r="AP530" s="12"/>
      <c r="AQ530" s="12"/>
      <c r="AR530" s="12"/>
    </row>
    <row r="531" spans="2:44" ht="15" thickBot="1">
      <c r="B531" s="26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  <c r="AL531" s="12"/>
      <c r="AM531" s="12"/>
      <c r="AN531" s="12"/>
      <c r="AO531" s="12"/>
      <c r="AP531" s="12"/>
      <c r="AQ531" s="12"/>
      <c r="AR531" s="12"/>
    </row>
    <row r="532" spans="2:44" ht="15" thickBot="1">
      <c r="B532" s="26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  <c r="AL532" s="12"/>
      <c r="AM532" s="12"/>
      <c r="AN532" s="12"/>
      <c r="AO532" s="12"/>
      <c r="AP532" s="12"/>
      <c r="AQ532" s="12"/>
      <c r="AR532" s="12"/>
    </row>
    <row r="533" spans="2:44" ht="15" thickBot="1">
      <c r="B533" s="26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  <c r="AL533" s="12"/>
      <c r="AM533" s="12"/>
      <c r="AN533" s="12"/>
      <c r="AO533" s="12"/>
      <c r="AP533" s="12"/>
      <c r="AQ533" s="12"/>
      <c r="AR533" s="12"/>
    </row>
    <row r="534" spans="2:44" ht="15" thickBot="1">
      <c r="B534" s="26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  <c r="AL534" s="12"/>
      <c r="AM534" s="12"/>
      <c r="AN534" s="12"/>
      <c r="AO534" s="12"/>
      <c r="AP534" s="12"/>
      <c r="AQ534" s="12"/>
      <c r="AR534" s="12"/>
    </row>
    <row r="535" spans="2:44" ht="15" thickBot="1">
      <c r="B535" s="26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  <c r="AL535" s="12"/>
      <c r="AM535" s="12"/>
      <c r="AN535" s="12"/>
      <c r="AO535" s="12"/>
      <c r="AP535" s="12"/>
      <c r="AQ535" s="12"/>
      <c r="AR535" s="12"/>
    </row>
    <row r="536" spans="2:44" ht="15" thickBot="1">
      <c r="B536" s="26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  <c r="AL536" s="12"/>
      <c r="AM536" s="12"/>
      <c r="AN536" s="12"/>
      <c r="AO536" s="12"/>
      <c r="AP536" s="12"/>
      <c r="AQ536" s="12"/>
      <c r="AR536" s="12"/>
    </row>
    <row r="537" spans="2:44" ht="15" thickBot="1">
      <c r="B537" s="26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  <c r="AL537" s="12"/>
      <c r="AM537" s="12"/>
      <c r="AN537" s="12"/>
      <c r="AO537" s="12"/>
      <c r="AP537" s="12"/>
      <c r="AQ537" s="12"/>
      <c r="AR537" s="12"/>
    </row>
    <row r="538" spans="2:44" ht="15" thickBot="1">
      <c r="B538" s="26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  <c r="AL538" s="12"/>
      <c r="AM538" s="12"/>
      <c r="AN538" s="12"/>
      <c r="AO538" s="12"/>
      <c r="AP538" s="12"/>
      <c r="AQ538" s="12"/>
      <c r="AR538" s="12"/>
    </row>
    <row r="539" spans="2:44" ht="15" thickBot="1">
      <c r="B539" s="26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  <c r="AL539" s="12"/>
      <c r="AM539" s="12"/>
      <c r="AN539" s="12"/>
      <c r="AO539" s="12"/>
      <c r="AP539" s="12"/>
      <c r="AQ539" s="12"/>
      <c r="AR539" s="12"/>
    </row>
    <row r="540" spans="2:44" ht="15" thickBot="1">
      <c r="B540" s="26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  <c r="AL540" s="12"/>
      <c r="AM540" s="12"/>
      <c r="AN540" s="12"/>
      <c r="AO540" s="12"/>
      <c r="AP540" s="12"/>
      <c r="AQ540" s="12"/>
      <c r="AR540" s="12"/>
    </row>
    <row r="541" spans="2:44" ht="15" thickBot="1">
      <c r="B541" s="26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  <c r="AL541" s="12"/>
      <c r="AM541" s="12"/>
      <c r="AN541" s="12"/>
      <c r="AO541" s="12"/>
      <c r="AP541" s="12"/>
      <c r="AQ541" s="12"/>
      <c r="AR541" s="12"/>
    </row>
    <row r="542" spans="2:44" ht="15" thickBot="1">
      <c r="B542" s="26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  <c r="AL542" s="12"/>
      <c r="AM542" s="12"/>
      <c r="AN542" s="12"/>
      <c r="AO542" s="12"/>
      <c r="AP542" s="12"/>
      <c r="AQ542" s="12"/>
      <c r="AR542" s="12"/>
    </row>
    <row r="543" spans="2:44" ht="15" thickBot="1">
      <c r="B543" s="26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  <c r="AL543" s="12"/>
      <c r="AM543" s="12"/>
      <c r="AN543" s="12"/>
      <c r="AO543" s="12"/>
      <c r="AP543" s="12"/>
      <c r="AQ543" s="12"/>
      <c r="AR543" s="12"/>
    </row>
    <row r="544" spans="2:44" ht="15" thickBot="1">
      <c r="B544" s="26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  <c r="AL544" s="12"/>
      <c r="AM544" s="12"/>
      <c r="AN544" s="12"/>
      <c r="AO544" s="12"/>
      <c r="AP544" s="12"/>
      <c r="AQ544" s="12"/>
      <c r="AR544" s="12"/>
    </row>
    <row r="545" spans="2:44" ht="15" thickBot="1">
      <c r="B545" s="26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  <c r="AL545" s="12"/>
      <c r="AM545" s="12"/>
      <c r="AN545" s="12"/>
      <c r="AO545" s="12"/>
      <c r="AP545" s="12"/>
      <c r="AQ545" s="12"/>
      <c r="AR545" s="12"/>
    </row>
    <row r="546" spans="2:44" ht="15" thickBot="1">
      <c r="B546" s="26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  <c r="AL546" s="12"/>
      <c r="AM546" s="12"/>
      <c r="AN546" s="12"/>
      <c r="AO546" s="12"/>
      <c r="AP546" s="12"/>
      <c r="AQ546" s="12"/>
      <c r="AR546" s="12"/>
    </row>
    <row r="547" spans="2:44" ht="15" thickBot="1">
      <c r="B547" s="26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  <c r="AL547" s="12"/>
      <c r="AM547" s="12"/>
      <c r="AN547" s="12"/>
      <c r="AO547" s="12"/>
      <c r="AP547" s="12"/>
      <c r="AQ547" s="12"/>
      <c r="AR547" s="12"/>
    </row>
    <row r="548" spans="2:44" ht="15" thickBot="1">
      <c r="B548" s="26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  <c r="AL548" s="12"/>
      <c r="AM548" s="12"/>
      <c r="AN548" s="12"/>
      <c r="AO548" s="12"/>
      <c r="AP548" s="12"/>
      <c r="AQ548" s="12"/>
      <c r="AR548" s="12"/>
    </row>
    <row r="549" spans="2:44" ht="15" thickBot="1">
      <c r="B549" s="26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  <c r="AL549" s="12"/>
      <c r="AM549" s="12"/>
      <c r="AN549" s="12"/>
      <c r="AO549" s="12"/>
      <c r="AP549" s="12"/>
      <c r="AQ549" s="12"/>
      <c r="AR549" s="12"/>
    </row>
    <row r="550" spans="2:44" ht="15" thickBot="1">
      <c r="B550" s="26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  <c r="AL550" s="12"/>
      <c r="AM550" s="12"/>
      <c r="AN550" s="12"/>
      <c r="AO550" s="12"/>
      <c r="AP550" s="12"/>
      <c r="AQ550" s="12"/>
      <c r="AR550" s="12"/>
    </row>
    <row r="551" spans="2:44" ht="15" thickBot="1">
      <c r="B551" s="26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  <c r="AL551" s="12"/>
      <c r="AM551" s="12"/>
      <c r="AN551" s="12"/>
      <c r="AO551" s="12"/>
      <c r="AP551" s="12"/>
      <c r="AQ551" s="12"/>
      <c r="AR551" s="12"/>
    </row>
    <row r="552" spans="2:44" ht="15" thickBot="1">
      <c r="B552" s="26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  <c r="AL552" s="12"/>
      <c r="AM552" s="12"/>
      <c r="AN552" s="12"/>
      <c r="AO552" s="12"/>
      <c r="AP552" s="12"/>
      <c r="AQ552" s="12"/>
      <c r="AR552" s="12"/>
    </row>
    <row r="553" spans="2:44" ht="15" thickBot="1">
      <c r="B553" s="26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  <c r="AL553" s="12"/>
      <c r="AM553" s="12"/>
      <c r="AN553" s="12"/>
      <c r="AO553" s="12"/>
      <c r="AP553" s="12"/>
      <c r="AQ553" s="12"/>
      <c r="AR553" s="12"/>
    </row>
    <row r="554" spans="2:44" ht="15" thickBot="1">
      <c r="B554" s="26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  <c r="AL554" s="12"/>
      <c r="AM554" s="12"/>
      <c r="AN554" s="12"/>
      <c r="AO554" s="12"/>
      <c r="AP554" s="12"/>
      <c r="AQ554" s="12"/>
      <c r="AR554" s="12"/>
    </row>
    <row r="555" spans="2:44" ht="15" thickBot="1">
      <c r="B555" s="26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  <c r="AL555" s="12"/>
      <c r="AM555" s="12"/>
      <c r="AN555" s="12"/>
      <c r="AO555" s="12"/>
      <c r="AP555" s="12"/>
      <c r="AQ555" s="12"/>
      <c r="AR555" s="12"/>
    </row>
    <row r="556" spans="2:44" ht="15" thickBot="1">
      <c r="B556" s="26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  <c r="AL556" s="12"/>
      <c r="AM556" s="12"/>
      <c r="AN556" s="12"/>
      <c r="AO556" s="12"/>
      <c r="AP556" s="12"/>
      <c r="AQ556" s="12"/>
      <c r="AR556" s="12"/>
    </row>
    <row r="557" spans="2:44" ht="15" thickBot="1">
      <c r="B557" s="26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  <c r="AL557" s="12"/>
      <c r="AM557" s="12"/>
      <c r="AN557" s="12"/>
      <c r="AO557" s="12"/>
      <c r="AP557" s="12"/>
      <c r="AQ557" s="12"/>
      <c r="AR557" s="12"/>
    </row>
    <row r="558" spans="2:44" ht="15" thickBot="1">
      <c r="B558" s="26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  <c r="AL558" s="12"/>
      <c r="AM558" s="12"/>
      <c r="AN558" s="12"/>
      <c r="AO558" s="12"/>
      <c r="AP558" s="12"/>
      <c r="AQ558" s="12"/>
      <c r="AR558" s="12"/>
    </row>
    <row r="559" spans="2:44" ht="15" thickBot="1">
      <c r="B559" s="26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  <c r="AL559" s="12"/>
      <c r="AM559" s="12"/>
      <c r="AN559" s="12"/>
      <c r="AO559" s="12"/>
      <c r="AP559" s="12"/>
      <c r="AQ559" s="12"/>
      <c r="AR559" s="12"/>
    </row>
    <row r="560" spans="2:44" ht="15" thickBot="1">
      <c r="B560" s="26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  <c r="AL560" s="12"/>
      <c r="AM560" s="12"/>
      <c r="AN560" s="12"/>
      <c r="AO560" s="12"/>
      <c r="AP560" s="12"/>
      <c r="AQ560" s="12"/>
      <c r="AR560" s="12"/>
    </row>
    <row r="561" spans="2:44" ht="15" thickBot="1">
      <c r="B561" s="26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  <c r="AL561" s="12"/>
      <c r="AM561" s="12"/>
      <c r="AN561" s="12"/>
      <c r="AO561" s="12"/>
      <c r="AP561" s="12"/>
      <c r="AQ561" s="12"/>
      <c r="AR561" s="12"/>
    </row>
    <row r="562" spans="2:44" ht="15" thickBot="1">
      <c r="B562" s="26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  <c r="AL562" s="12"/>
      <c r="AM562" s="12"/>
      <c r="AN562" s="12"/>
      <c r="AO562" s="12"/>
      <c r="AP562" s="12"/>
      <c r="AQ562" s="12"/>
      <c r="AR562" s="12"/>
    </row>
    <row r="563" spans="2:44" ht="15" thickBot="1">
      <c r="B563" s="26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  <c r="AL563" s="12"/>
      <c r="AM563" s="12"/>
      <c r="AN563" s="12"/>
      <c r="AO563" s="12"/>
      <c r="AP563" s="12"/>
      <c r="AQ563" s="12"/>
      <c r="AR563" s="12"/>
    </row>
    <row r="564" spans="2:44" ht="15" thickBot="1">
      <c r="B564" s="26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  <c r="AL564" s="12"/>
      <c r="AM564" s="12"/>
      <c r="AN564" s="12"/>
      <c r="AO564" s="12"/>
      <c r="AP564" s="12"/>
      <c r="AQ564" s="12"/>
      <c r="AR564" s="12"/>
    </row>
    <row r="565" spans="2:44" ht="15" thickBot="1">
      <c r="B565" s="26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  <c r="AL565" s="12"/>
      <c r="AM565" s="12"/>
      <c r="AN565" s="12"/>
      <c r="AO565" s="12"/>
      <c r="AP565" s="12"/>
      <c r="AQ565" s="12"/>
      <c r="AR565" s="12"/>
    </row>
    <row r="566" spans="2:44" ht="15" thickBot="1">
      <c r="B566" s="26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  <c r="AL566" s="12"/>
      <c r="AM566" s="12"/>
      <c r="AN566" s="12"/>
      <c r="AO566" s="12"/>
      <c r="AP566" s="12"/>
      <c r="AQ566" s="12"/>
      <c r="AR566" s="12"/>
    </row>
    <row r="567" spans="2:44" ht="15" thickBot="1">
      <c r="B567" s="26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  <c r="AL567" s="12"/>
      <c r="AM567" s="12"/>
      <c r="AN567" s="12"/>
      <c r="AO567" s="12"/>
      <c r="AP567" s="12"/>
      <c r="AQ567" s="12"/>
      <c r="AR567" s="12"/>
    </row>
    <row r="568" spans="2:44" ht="15" thickBot="1">
      <c r="B568" s="26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  <c r="AL568" s="12"/>
      <c r="AM568" s="12"/>
      <c r="AN568" s="12"/>
      <c r="AO568" s="12"/>
      <c r="AP568" s="12"/>
      <c r="AQ568" s="12"/>
      <c r="AR568" s="12"/>
    </row>
    <row r="569" spans="2:44" ht="15" thickBot="1">
      <c r="B569" s="26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  <c r="AL569" s="12"/>
      <c r="AM569" s="12"/>
      <c r="AN569" s="12"/>
      <c r="AO569" s="12"/>
      <c r="AP569" s="12"/>
      <c r="AQ569" s="12"/>
      <c r="AR569" s="12"/>
    </row>
    <row r="570" spans="2:44" ht="15" thickBot="1">
      <c r="B570" s="26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  <c r="AL570" s="12"/>
      <c r="AM570" s="12"/>
      <c r="AN570" s="12"/>
      <c r="AO570" s="12"/>
      <c r="AP570" s="12"/>
      <c r="AQ570" s="12"/>
      <c r="AR570" s="12"/>
    </row>
    <row r="571" spans="2:44" ht="15" thickBot="1">
      <c r="B571" s="26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  <c r="AL571" s="12"/>
      <c r="AM571" s="12"/>
      <c r="AN571" s="12"/>
      <c r="AO571" s="12"/>
      <c r="AP571" s="12"/>
      <c r="AQ571" s="12"/>
      <c r="AR571" s="12"/>
    </row>
    <row r="572" spans="2:44" ht="15" thickBot="1">
      <c r="B572" s="26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  <c r="AL572" s="12"/>
      <c r="AM572" s="12"/>
      <c r="AN572" s="12"/>
      <c r="AO572" s="12"/>
      <c r="AP572" s="12"/>
      <c r="AQ572" s="12"/>
      <c r="AR572" s="12"/>
    </row>
    <row r="573" spans="2:44" ht="15" thickBot="1"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  <c r="AL573" s="12"/>
      <c r="AM573" s="12"/>
      <c r="AN573" s="12"/>
      <c r="AO573" s="12"/>
      <c r="AP573" s="12"/>
      <c r="AQ573" s="12"/>
      <c r="AR573" s="12"/>
    </row>
    <row r="574" spans="2:44" ht="15" thickBot="1"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  <c r="AL574" s="12"/>
      <c r="AM574" s="12"/>
      <c r="AN574" s="12"/>
      <c r="AO574" s="12"/>
      <c r="AP574" s="12"/>
      <c r="AQ574" s="12"/>
      <c r="AR574" s="12"/>
    </row>
    <row r="575" spans="2:44" ht="15" thickBot="1"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  <c r="AL575" s="12"/>
      <c r="AM575" s="12"/>
      <c r="AN575" s="12"/>
      <c r="AO575" s="12"/>
      <c r="AP575" s="12"/>
      <c r="AQ575" s="12"/>
      <c r="AR575" s="12"/>
    </row>
    <row r="576" spans="2:44" ht="15" thickBot="1"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  <c r="AL576" s="12"/>
      <c r="AM576" s="12"/>
      <c r="AN576" s="12"/>
      <c r="AO576" s="12"/>
      <c r="AP576" s="12"/>
      <c r="AQ576" s="12"/>
      <c r="AR576" s="12"/>
    </row>
    <row r="577" spans="5:44" ht="15" thickBot="1"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  <c r="AL577" s="12"/>
      <c r="AM577" s="12"/>
      <c r="AN577" s="12"/>
      <c r="AO577" s="12"/>
      <c r="AP577" s="12"/>
      <c r="AQ577" s="12"/>
      <c r="AR577" s="12"/>
    </row>
    <row r="578" spans="5:44" ht="15" thickBot="1"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  <c r="AL578" s="12"/>
      <c r="AM578" s="12"/>
      <c r="AN578" s="12"/>
      <c r="AO578" s="12"/>
      <c r="AP578" s="12"/>
      <c r="AQ578" s="12"/>
      <c r="AR578" s="12"/>
    </row>
    <row r="579" spans="5:44" ht="15" thickBot="1"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  <c r="AL579" s="12"/>
      <c r="AM579" s="12"/>
      <c r="AN579" s="12"/>
      <c r="AO579" s="12"/>
      <c r="AP579" s="12"/>
      <c r="AQ579" s="12"/>
      <c r="AR579" s="12"/>
    </row>
    <row r="580" spans="5:44" ht="15" thickBot="1"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  <c r="AL580" s="12"/>
      <c r="AM580" s="12"/>
      <c r="AN580" s="12"/>
      <c r="AO580" s="12"/>
      <c r="AP580" s="12"/>
      <c r="AQ580" s="12"/>
      <c r="AR580" s="12"/>
    </row>
    <row r="581" spans="5:44" ht="15" thickBot="1"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  <c r="AL581" s="12"/>
      <c r="AM581" s="12"/>
      <c r="AN581" s="12"/>
      <c r="AO581" s="12"/>
      <c r="AP581" s="12"/>
      <c r="AQ581" s="12"/>
      <c r="AR581" s="12"/>
    </row>
    <row r="582" spans="5:44" ht="15" thickBot="1"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  <c r="AL582" s="12"/>
      <c r="AM582" s="12"/>
      <c r="AN582" s="12"/>
      <c r="AO582" s="12"/>
      <c r="AP582" s="12"/>
      <c r="AQ582" s="12"/>
      <c r="AR582" s="12"/>
    </row>
    <row r="583" spans="5:44" ht="15" thickBot="1"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  <c r="AL583" s="12"/>
      <c r="AM583" s="12"/>
      <c r="AN583" s="12"/>
      <c r="AO583" s="12"/>
      <c r="AP583" s="12"/>
      <c r="AQ583" s="12"/>
      <c r="AR583" s="12"/>
    </row>
    <row r="584" spans="5:44" ht="15" thickBot="1"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  <c r="AL584" s="12"/>
      <c r="AM584" s="12"/>
      <c r="AN584" s="12"/>
      <c r="AO584" s="12"/>
      <c r="AP584" s="12"/>
      <c r="AQ584" s="12"/>
      <c r="AR584" s="12"/>
    </row>
    <row r="585" spans="5:44" ht="15" thickBot="1"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  <c r="AL585" s="12"/>
      <c r="AM585" s="12"/>
      <c r="AN585" s="12"/>
      <c r="AO585" s="12"/>
      <c r="AP585" s="12"/>
      <c r="AQ585" s="12"/>
      <c r="AR585" s="12"/>
    </row>
    <row r="586" spans="5:44" ht="15" thickBot="1"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  <c r="AL586" s="12"/>
      <c r="AM586" s="12"/>
      <c r="AN586" s="12"/>
      <c r="AO586" s="12"/>
      <c r="AP586" s="12"/>
      <c r="AQ586" s="12"/>
      <c r="AR586" s="12"/>
    </row>
    <row r="587" spans="5:44" ht="15" thickBot="1"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  <c r="AL587" s="12"/>
      <c r="AM587" s="12"/>
      <c r="AN587" s="12"/>
      <c r="AO587" s="12"/>
      <c r="AP587" s="12"/>
      <c r="AQ587" s="12"/>
      <c r="AR587" s="12"/>
    </row>
    <row r="588" spans="5:44" ht="15" thickBot="1"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  <c r="AL588" s="12"/>
      <c r="AM588" s="12"/>
      <c r="AN588" s="12"/>
      <c r="AO588" s="12"/>
      <c r="AP588" s="12"/>
      <c r="AQ588" s="12"/>
      <c r="AR588" s="12"/>
    </row>
    <row r="589" spans="5:44" ht="15" thickBot="1"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  <c r="AL589" s="12"/>
      <c r="AM589" s="12"/>
      <c r="AN589" s="12"/>
      <c r="AO589" s="12"/>
      <c r="AP589" s="12"/>
      <c r="AQ589" s="12"/>
      <c r="AR589" s="12"/>
    </row>
    <row r="590" spans="5:44" ht="15" thickBot="1"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  <c r="AL590" s="12"/>
      <c r="AM590" s="12"/>
      <c r="AN590" s="12"/>
      <c r="AO590" s="12"/>
      <c r="AP590" s="12"/>
      <c r="AQ590" s="12"/>
      <c r="AR590" s="12"/>
    </row>
    <row r="591" spans="5:44" ht="15" thickBot="1"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  <c r="AL591" s="12"/>
      <c r="AM591" s="12"/>
      <c r="AN591" s="12"/>
      <c r="AO591" s="12"/>
      <c r="AP591" s="12"/>
      <c r="AQ591" s="12"/>
      <c r="AR591" s="12"/>
    </row>
    <row r="592" spans="5:44" ht="15" thickBot="1"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  <c r="AL592" s="12"/>
      <c r="AM592" s="12"/>
      <c r="AN592" s="12"/>
      <c r="AO592" s="12"/>
      <c r="AP592" s="12"/>
      <c r="AQ592" s="12"/>
      <c r="AR592" s="12"/>
    </row>
    <row r="593" spans="5:44" ht="15" thickBot="1"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  <c r="AL593" s="12"/>
      <c r="AM593" s="12"/>
      <c r="AN593" s="12"/>
      <c r="AO593" s="12"/>
      <c r="AP593" s="12"/>
      <c r="AQ593" s="12"/>
      <c r="AR593" s="12"/>
    </row>
    <row r="594" spans="5:44" ht="15" thickBot="1"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  <c r="AL594" s="12"/>
      <c r="AM594" s="12"/>
      <c r="AN594" s="12"/>
      <c r="AO594" s="12"/>
      <c r="AP594" s="12"/>
      <c r="AQ594" s="12"/>
      <c r="AR594" s="12"/>
    </row>
    <row r="595" spans="5:44" ht="15" thickBot="1"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  <c r="AL595" s="12"/>
      <c r="AM595" s="12"/>
      <c r="AN595" s="12"/>
      <c r="AO595" s="12"/>
      <c r="AP595" s="12"/>
      <c r="AQ595" s="12"/>
      <c r="AR595" s="12"/>
    </row>
    <row r="596" spans="5:44" ht="15" thickBot="1"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  <c r="AL596" s="12"/>
      <c r="AM596" s="12"/>
      <c r="AN596" s="12"/>
      <c r="AO596" s="12"/>
      <c r="AP596" s="12"/>
      <c r="AQ596" s="12"/>
      <c r="AR596" s="12"/>
    </row>
    <row r="597" spans="5:44" ht="15" thickBot="1"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  <c r="AL597" s="12"/>
      <c r="AM597" s="12"/>
      <c r="AN597" s="12"/>
      <c r="AO597" s="12"/>
      <c r="AP597" s="12"/>
      <c r="AQ597" s="12"/>
      <c r="AR597" s="12"/>
    </row>
    <row r="598" spans="5:44" ht="15" thickBot="1"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  <c r="AL598" s="12"/>
      <c r="AM598" s="12"/>
      <c r="AN598" s="12"/>
      <c r="AO598" s="12"/>
      <c r="AP598" s="12"/>
      <c r="AQ598" s="12"/>
      <c r="AR598" s="12"/>
    </row>
    <row r="599" spans="5:44" ht="15" thickBot="1"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  <c r="AL599" s="12"/>
      <c r="AM599" s="12"/>
      <c r="AN599" s="12"/>
      <c r="AO599" s="12"/>
      <c r="AP599" s="12"/>
      <c r="AQ599" s="12"/>
      <c r="AR599" s="12"/>
    </row>
    <row r="600" spans="5:44" ht="15" thickBot="1"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  <c r="AL600" s="12"/>
      <c r="AM600" s="12"/>
      <c r="AN600" s="12"/>
      <c r="AO600" s="12"/>
      <c r="AP600" s="12"/>
      <c r="AQ600" s="12"/>
      <c r="AR600" s="12"/>
    </row>
    <row r="601" spans="5:44" ht="15" thickBot="1"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  <c r="AL601" s="12"/>
      <c r="AM601" s="12"/>
      <c r="AN601" s="12"/>
      <c r="AO601" s="12"/>
      <c r="AP601" s="12"/>
      <c r="AQ601" s="12"/>
      <c r="AR601" s="12"/>
    </row>
    <row r="602" spans="5:44" ht="15" thickBot="1"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  <c r="AL602" s="12"/>
      <c r="AM602" s="12"/>
      <c r="AN602" s="12"/>
      <c r="AO602" s="12"/>
      <c r="AP602" s="12"/>
      <c r="AQ602" s="12"/>
      <c r="AR602" s="12"/>
    </row>
    <row r="603" spans="5:44" ht="15" thickBot="1"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  <c r="AL603" s="12"/>
      <c r="AM603" s="12"/>
      <c r="AN603" s="12"/>
      <c r="AO603" s="12"/>
      <c r="AP603" s="12"/>
      <c r="AQ603" s="12"/>
      <c r="AR603" s="12"/>
    </row>
    <row r="604" spans="5:44" ht="15" thickBot="1"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  <c r="AL604" s="12"/>
      <c r="AM604" s="12"/>
      <c r="AN604" s="12"/>
      <c r="AO604" s="12"/>
      <c r="AP604" s="12"/>
      <c r="AQ604" s="12"/>
      <c r="AR604" s="12"/>
    </row>
    <row r="605" spans="5:44" ht="15" thickBot="1"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  <c r="AL605" s="12"/>
      <c r="AM605" s="12"/>
      <c r="AN605" s="12"/>
      <c r="AO605" s="12"/>
      <c r="AP605" s="12"/>
      <c r="AQ605" s="12"/>
      <c r="AR605" s="12"/>
    </row>
    <row r="606" spans="5:44" ht="15" thickBot="1"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  <c r="AL606" s="12"/>
      <c r="AM606" s="12"/>
      <c r="AN606" s="12"/>
      <c r="AO606" s="12"/>
      <c r="AP606" s="12"/>
      <c r="AQ606" s="12"/>
      <c r="AR606" s="12"/>
    </row>
    <row r="607" spans="5:44" ht="15" thickBot="1"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  <c r="AL607" s="12"/>
      <c r="AM607" s="12"/>
      <c r="AN607" s="12"/>
      <c r="AO607" s="12"/>
      <c r="AP607" s="12"/>
      <c r="AQ607" s="12"/>
      <c r="AR607" s="12"/>
    </row>
    <row r="608" spans="5:44" ht="15" thickBot="1"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  <c r="AL608" s="12"/>
      <c r="AM608" s="12"/>
      <c r="AN608" s="12"/>
      <c r="AO608" s="12"/>
      <c r="AP608" s="12"/>
      <c r="AQ608" s="12"/>
      <c r="AR608" s="12"/>
    </row>
    <row r="609" spans="5:44" ht="15" thickBot="1"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  <c r="AL609" s="12"/>
      <c r="AM609" s="12"/>
      <c r="AN609" s="12"/>
      <c r="AO609" s="12"/>
      <c r="AP609" s="12"/>
      <c r="AQ609" s="12"/>
      <c r="AR609" s="12"/>
    </row>
    <row r="610" spans="5:44" ht="15" thickBot="1"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  <c r="AL610" s="12"/>
      <c r="AM610" s="12"/>
      <c r="AN610" s="12"/>
      <c r="AO610" s="12"/>
      <c r="AP610" s="12"/>
      <c r="AQ610" s="12"/>
      <c r="AR610" s="12"/>
    </row>
    <row r="611" spans="5:44" ht="15" thickBot="1"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  <c r="AL611" s="12"/>
      <c r="AM611" s="12"/>
      <c r="AN611" s="12"/>
      <c r="AO611" s="12"/>
      <c r="AP611" s="12"/>
      <c r="AQ611" s="12"/>
      <c r="AR611" s="12"/>
    </row>
    <row r="612" spans="5:44" ht="15" thickBot="1"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  <c r="AL612" s="12"/>
      <c r="AM612" s="12"/>
      <c r="AN612" s="12"/>
      <c r="AO612" s="12"/>
      <c r="AP612" s="12"/>
      <c r="AQ612" s="12"/>
      <c r="AR612" s="12"/>
    </row>
    <row r="613" spans="5:44" ht="15" thickBot="1"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  <c r="AL613" s="12"/>
      <c r="AM613" s="12"/>
      <c r="AN613" s="12"/>
      <c r="AO613" s="12"/>
      <c r="AP613" s="12"/>
      <c r="AQ613" s="12"/>
      <c r="AR613" s="12"/>
    </row>
    <row r="614" spans="5:44" ht="15" thickBot="1"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  <c r="AL614" s="12"/>
      <c r="AM614" s="12"/>
      <c r="AN614" s="12"/>
      <c r="AO614" s="12"/>
      <c r="AP614" s="12"/>
      <c r="AQ614" s="12"/>
      <c r="AR614" s="12"/>
    </row>
    <row r="615" spans="5:44" ht="15" thickBot="1"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  <c r="AL615" s="12"/>
      <c r="AM615" s="12"/>
      <c r="AN615" s="12"/>
      <c r="AO615" s="12"/>
      <c r="AP615" s="12"/>
      <c r="AQ615" s="12"/>
      <c r="AR615" s="12"/>
    </row>
    <row r="616" spans="5:44" ht="15" thickBot="1"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  <c r="AL616" s="12"/>
      <c r="AM616" s="12"/>
      <c r="AN616" s="12"/>
      <c r="AO616" s="12"/>
      <c r="AP616" s="12"/>
      <c r="AQ616" s="12"/>
      <c r="AR616" s="12"/>
    </row>
    <row r="617" spans="5:44" ht="15" thickBot="1"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  <c r="AL617" s="12"/>
      <c r="AM617" s="12"/>
      <c r="AN617" s="12"/>
      <c r="AO617" s="12"/>
      <c r="AP617" s="12"/>
      <c r="AQ617" s="12"/>
      <c r="AR617" s="12"/>
    </row>
    <row r="618" spans="5:44" ht="15" thickBot="1"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  <c r="AL618" s="12"/>
      <c r="AM618" s="12"/>
      <c r="AN618" s="12"/>
      <c r="AO618" s="12"/>
      <c r="AP618" s="12"/>
      <c r="AQ618" s="12"/>
      <c r="AR618" s="12"/>
    </row>
    <row r="619" spans="5:44" ht="15" thickBot="1"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  <c r="AL619" s="12"/>
      <c r="AM619" s="12"/>
      <c r="AN619" s="12"/>
      <c r="AO619" s="12"/>
      <c r="AP619" s="12"/>
      <c r="AQ619" s="12"/>
      <c r="AR619" s="12"/>
    </row>
    <row r="620" spans="5:44" ht="15" thickBot="1"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  <c r="AL620" s="12"/>
      <c r="AM620" s="12"/>
      <c r="AN620" s="12"/>
      <c r="AO620" s="12"/>
      <c r="AP620" s="12"/>
      <c r="AQ620" s="12"/>
      <c r="AR620" s="12"/>
    </row>
    <row r="621" spans="5:44" ht="15" thickBot="1"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  <c r="AL621" s="12"/>
      <c r="AM621" s="12"/>
      <c r="AN621" s="12"/>
      <c r="AO621" s="12"/>
      <c r="AP621" s="12"/>
      <c r="AQ621" s="12"/>
      <c r="AR621" s="12"/>
    </row>
    <row r="622" spans="5:44" ht="15" thickBot="1"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  <c r="AL622" s="12"/>
      <c r="AM622" s="12"/>
      <c r="AN622" s="12"/>
      <c r="AO622" s="12"/>
      <c r="AP622" s="12"/>
      <c r="AQ622" s="12"/>
      <c r="AR622" s="12"/>
    </row>
    <row r="623" spans="5:44" ht="15" thickBot="1"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  <c r="AL623" s="12"/>
      <c r="AM623" s="12"/>
      <c r="AN623" s="12"/>
      <c r="AO623" s="12"/>
      <c r="AP623" s="12"/>
      <c r="AQ623" s="12"/>
      <c r="AR623" s="12"/>
    </row>
    <row r="624" spans="5:44" ht="15" thickBot="1"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  <c r="AL624" s="12"/>
      <c r="AM624" s="12"/>
      <c r="AN624" s="12"/>
      <c r="AO624" s="12"/>
      <c r="AP624" s="12"/>
      <c r="AQ624" s="12"/>
      <c r="AR624" s="12"/>
    </row>
    <row r="625" spans="5:44" ht="15" thickBot="1"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  <c r="AL625" s="12"/>
      <c r="AM625" s="12"/>
      <c r="AN625" s="12"/>
      <c r="AO625" s="12"/>
      <c r="AP625" s="12"/>
      <c r="AQ625" s="12"/>
      <c r="AR625" s="12"/>
    </row>
    <row r="626" spans="5:44" ht="15" thickBot="1"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  <c r="AL626" s="12"/>
      <c r="AM626" s="12"/>
      <c r="AN626" s="12"/>
      <c r="AO626" s="12"/>
      <c r="AP626" s="12"/>
      <c r="AQ626" s="12"/>
      <c r="AR626" s="12"/>
    </row>
    <row r="627" spans="5:44" ht="15" thickBot="1"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  <c r="AL627" s="12"/>
      <c r="AM627" s="12"/>
      <c r="AN627" s="12"/>
      <c r="AO627" s="12"/>
      <c r="AP627" s="12"/>
      <c r="AQ627" s="12"/>
      <c r="AR627" s="12"/>
    </row>
    <row r="628" spans="5:44" ht="15" thickBot="1"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  <c r="AL628" s="12"/>
      <c r="AM628" s="12"/>
      <c r="AN628" s="12"/>
      <c r="AO628" s="12"/>
      <c r="AP628" s="12"/>
      <c r="AQ628" s="12"/>
      <c r="AR628" s="12"/>
    </row>
    <row r="629" spans="5:44" ht="15" thickBot="1"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  <c r="AL629" s="12"/>
      <c r="AM629" s="12"/>
      <c r="AN629" s="12"/>
      <c r="AO629" s="12"/>
      <c r="AP629" s="12"/>
      <c r="AQ629" s="12"/>
      <c r="AR629" s="12"/>
    </row>
    <row r="630" spans="5:44" ht="15" thickBot="1"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  <c r="AL630" s="12"/>
      <c r="AM630" s="12"/>
      <c r="AN630" s="12"/>
      <c r="AO630" s="12"/>
      <c r="AP630" s="12"/>
      <c r="AQ630" s="12"/>
      <c r="AR630" s="12"/>
    </row>
    <row r="631" spans="5:44" ht="15" thickBot="1"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  <c r="AL631" s="12"/>
      <c r="AM631" s="12"/>
      <c r="AN631" s="12"/>
      <c r="AO631" s="12"/>
      <c r="AP631" s="12"/>
      <c r="AQ631" s="12"/>
      <c r="AR631" s="12"/>
    </row>
    <row r="632" spans="5:44" ht="15" thickBot="1"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  <c r="AL632" s="12"/>
      <c r="AM632" s="12"/>
      <c r="AN632" s="12"/>
      <c r="AO632" s="12"/>
      <c r="AP632" s="12"/>
      <c r="AQ632" s="12"/>
      <c r="AR632" s="12"/>
    </row>
    <row r="633" spans="5:44" ht="15" thickBot="1"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  <c r="AL633" s="12"/>
      <c r="AM633" s="12"/>
      <c r="AN633" s="12"/>
      <c r="AO633" s="12"/>
      <c r="AP633" s="12"/>
      <c r="AQ633" s="12"/>
      <c r="AR633" s="12"/>
    </row>
    <row r="634" spans="5:44" ht="15" thickBot="1"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  <c r="AL634" s="12"/>
      <c r="AM634" s="12"/>
      <c r="AN634" s="12"/>
      <c r="AO634" s="12"/>
      <c r="AP634" s="12"/>
      <c r="AQ634" s="12"/>
      <c r="AR634" s="12"/>
    </row>
    <row r="635" spans="5:44" ht="15" thickBot="1"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  <c r="AL635" s="12"/>
      <c r="AM635" s="12"/>
      <c r="AN635" s="12"/>
      <c r="AO635" s="12"/>
      <c r="AP635" s="12"/>
      <c r="AQ635" s="12"/>
      <c r="AR635" s="12"/>
    </row>
    <row r="636" spans="5:44" ht="15" thickBot="1"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  <c r="AL636" s="12"/>
      <c r="AM636" s="12"/>
      <c r="AN636" s="12"/>
      <c r="AO636" s="12"/>
      <c r="AP636" s="12"/>
      <c r="AQ636" s="12"/>
      <c r="AR636" s="12"/>
    </row>
    <row r="637" spans="5:44" ht="15" thickBot="1"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  <c r="AL637" s="12"/>
      <c r="AM637" s="12"/>
      <c r="AN637" s="12"/>
      <c r="AO637" s="12"/>
      <c r="AP637" s="12"/>
      <c r="AQ637" s="12"/>
      <c r="AR637" s="12"/>
    </row>
    <row r="638" spans="5:44" ht="15" thickBot="1"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  <c r="AL638" s="12"/>
      <c r="AM638" s="12"/>
      <c r="AN638" s="12"/>
      <c r="AO638" s="12"/>
      <c r="AP638" s="12"/>
      <c r="AQ638" s="12"/>
      <c r="AR638" s="12"/>
    </row>
    <row r="639" spans="5:44" ht="15" thickBot="1"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  <c r="AL639" s="12"/>
      <c r="AM639" s="12"/>
      <c r="AN639" s="12"/>
      <c r="AO639" s="12"/>
      <c r="AP639" s="12"/>
      <c r="AQ639" s="12"/>
      <c r="AR639" s="12"/>
    </row>
    <row r="640" spans="5:44" ht="15" thickBot="1"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  <c r="AL640" s="12"/>
      <c r="AM640" s="12"/>
      <c r="AN640" s="12"/>
      <c r="AO640" s="12"/>
      <c r="AP640" s="12"/>
      <c r="AQ640" s="12"/>
      <c r="AR640" s="12"/>
    </row>
    <row r="641" spans="5:44" ht="15" thickBot="1"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  <c r="AL641" s="12"/>
      <c r="AM641" s="12"/>
      <c r="AN641" s="12"/>
      <c r="AO641" s="12"/>
      <c r="AP641" s="12"/>
      <c r="AQ641" s="12"/>
      <c r="AR641" s="12"/>
    </row>
    <row r="642" spans="5:44" ht="15" thickBot="1"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  <c r="AL642" s="12"/>
      <c r="AM642" s="12"/>
      <c r="AN642" s="12"/>
      <c r="AO642" s="12"/>
      <c r="AP642" s="12"/>
      <c r="AQ642" s="12"/>
      <c r="AR642" s="12"/>
    </row>
    <row r="643" spans="5:44" ht="15" thickBot="1"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  <c r="AL643" s="12"/>
      <c r="AM643" s="12"/>
      <c r="AN643" s="12"/>
      <c r="AO643" s="12"/>
      <c r="AP643" s="12"/>
      <c r="AQ643" s="12"/>
      <c r="AR643" s="12"/>
    </row>
    <row r="644" spans="5:44" ht="15" thickBot="1"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  <c r="AL644" s="12"/>
      <c r="AM644" s="12"/>
      <c r="AN644" s="12"/>
      <c r="AO644" s="12"/>
      <c r="AP644" s="12"/>
      <c r="AQ644" s="12"/>
      <c r="AR644" s="12"/>
    </row>
    <row r="645" spans="5:44" ht="15" thickBot="1"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  <c r="AL645" s="12"/>
      <c r="AM645" s="12"/>
      <c r="AN645" s="12"/>
      <c r="AO645" s="12"/>
      <c r="AP645" s="12"/>
      <c r="AQ645" s="12"/>
      <c r="AR645" s="12"/>
    </row>
    <row r="646" spans="5:44" ht="15" thickBot="1"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  <c r="AL646" s="12"/>
      <c r="AM646" s="12"/>
      <c r="AN646" s="12"/>
      <c r="AO646" s="12"/>
      <c r="AP646" s="12"/>
      <c r="AQ646" s="12"/>
      <c r="AR646" s="12"/>
    </row>
    <row r="647" spans="5:44" ht="15" thickBot="1"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  <c r="AL647" s="12"/>
      <c r="AM647" s="12"/>
      <c r="AN647" s="12"/>
      <c r="AO647" s="12"/>
      <c r="AP647" s="12"/>
      <c r="AQ647" s="12"/>
      <c r="AR647" s="12"/>
    </row>
    <row r="648" spans="5:44" ht="15" thickBot="1"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  <c r="AL648" s="12"/>
      <c r="AM648" s="12"/>
      <c r="AN648" s="12"/>
      <c r="AO648" s="12"/>
      <c r="AP648" s="12"/>
      <c r="AQ648" s="12"/>
      <c r="AR648" s="12"/>
    </row>
    <row r="649" spans="5:44" ht="15" thickBot="1"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  <c r="AL649" s="12"/>
      <c r="AM649" s="12"/>
      <c r="AN649" s="12"/>
      <c r="AO649" s="12"/>
      <c r="AP649" s="12"/>
      <c r="AQ649" s="12"/>
      <c r="AR649" s="12"/>
    </row>
    <row r="650" spans="5:44" ht="15" thickBot="1"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  <c r="AL650" s="12"/>
      <c r="AM650" s="12"/>
      <c r="AN650" s="12"/>
      <c r="AO650" s="12"/>
      <c r="AP650" s="12"/>
      <c r="AQ650" s="12"/>
      <c r="AR650" s="12"/>
    </row>
    <row r="651" spans="5:44" ht="15" thickBot="1"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  <c r="AL651" s="12"/>
      <c r="AM651" s="12"/>
      <c r="AN651" s="12"/>
      <c r="AO651" s="12"/>
      <c r="AP651" s="12"/>
      <c r="AQ651" s="12"/>
      <c r="AR651" s="12"/>
    </row>
    <row r="652" spans="5:44" ht="15" thickBot="1"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  <c r="AL652" s="12"/>
      <c r="AM652" s="12"/>
      <c r="AN652" s="12"/>
      <c r="AO652" s="12"/>
      <c r="AP652" s="12"/>
      <c r="AQ652" s="12"/>
      <c r="AR652" s="12"/>
    </row>
    <row r="653" spans="5:44" ht="15" thickBot="1"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  <c r="AL653" s="12"/>
      <c r="AM653" s="12"/>
      <c r="AN653" s="12"/>
      <c r="AO653" s="12"/>
      <c r="AP653" s="12"/>
      <c r="AQ653" s="12"/>
      <c r="AR653" s="12"/>
    </row>
    <row r="654" spans="5:44" ht="15" thickBot="1"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  <c r="AL654" s="12"/>
      <c r="AM654" s="12"/>
      <c r="AN654" s="12"/>
      <c r="AO654" s="12"/>
      <c r="AP654" s="12"/>
      <c r="AQ654" s="12"/>
      <c r="AR654" s="12"/>
    </row>
    <row r="655" spans="5:44" ht="15" thickBot="1"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  <c r="AL655" s="12"/>
      <c r="AM655" s="12"/>
      <c r="AN655" s="12"/>
      <c r="AO655" s="12"/>
      <c r="AP655" s="12"/>
      <c r="AQ655" s="12"/>
      <c r="AR655" s="12"/>
    </row>
    <row r="656" spans="5:44" ht="15" thickBot="1"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  <c r="AL656" s="12"/>
      <c r="AM656" s="12"/>
      <c r="AN656" s="12"/>
      <c r="AO656" s="12"/>
      <c r="AP656" s="12"/>
      <c r="AQ656" s="12"/>
      <c r="AR656" s="12"/>
    </row>
    <row r="657" spans="5:44" ht="15" thickBot="1"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  <c r="AL657" s="12"/>
      <c r="AM657" s="12"/>
      <c r="AN657" s="12"/>
      <c r="AO657" s="12"/>
      <c r="AP657" s="12"/>
      <c r="AQ657" s="12"/>
      <c r="AR657" s="12"/>
    </row>
    <row r="658" spans="5:44" ht="15" thickBot="1"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  <c r="AL658" s="12"/>
      <c r="AM658" s="12"/>
      <c r="AN658" s="12"/>
      <c r="AO658" s="12"/>
      <c r="AP658" s="12"/>
      <c r="AQ658" s="12"/>
      <c r="AR658" s="12"/>
    </row>
    <row r="659" spans="5:44" ht="15" thickBot="1"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  <c r="AL659" s="12"/>
      <c r="AM659" s="12"/>
      <c r="AN659" s="12"/>
      <c r="AO659" s="12"/>
      <c r="AP659" s="12"/>
      <c r="AQ659" s="12"/>
      <c r="AR659" s="12"/>
    </row>
    <row r="660" spans="5:44" ht="15" thickBot="1"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  <c r="AL660" s="12"/>
      <c r="AM660" s="12"/>
      <c r="AN660" s="12"/>
      <c r="AO660" s="12"/>
      <c r="AP660" s="12"/>
      <c r="AQ660" s="12"/>
      <c r="AR660" s="12"/>
    </row>
    <row r="661" spans="5:44" ht="15" thickBot="1"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  <c r="AL661" s="12"/>
      <c r="AM661" s="12"/>
      <c r="AN661" s="12"/>
      <c r="AO661" s="12"/>
      <c r="AP661" s="12"/>
      <c r="AQ661" s="12"/>
      <c r="AR661" s="12"/>
    </row>
    <row r="662" spans="5:44" ht="15" thickBot="1"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  <c r="AL662" s="12"/>
      <c r="AM662" s="12"/>
      <c r="AN662" s="12"/>
      <c r="AO662" s="12"/>
      <c r="AP662" s="12"/>
      <c r="AQ662" s="12"/>
      <c r="AR662" s="12"/>
    </row>
    <row r="663" spans="5:44" ht="15" thickBot="1"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  <c r="AL663" s="12"/>
      <c r="AM663" s="12"/>
      <c r="AN663" s="12"/>
      <c r="AO663" s="12"/>
      <c r="AP663" s="12"/>
      <c r="AQ663" s="12"/>
      <c r="AR663" s="12"/>
    </row>
    <row r="664" spans="5:44" ht="15" thickBot="1"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  <c r="AL664" s="12"/>
      <c r="AM664" s="12"/>
      <c r="AN664" s="12"/>
      <c r="AO664" s="12"/>
      <c r="AP664" s="12"/>
      <c r="AQ664" s="12"/>
      <c r="AR664" s="12"/>
    </row>
    <row r="665" spans="5:44" ht="15" thickBot="1"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  <c r="AL665" s="12"/>
      <c r="AM665" s="12"/>
      <c r="AN665" s="12"/>
      <c r="AO665" s="12"/>
      <c r="AP665" s="12"/>
      <c r="AQ665" s="12"/>
      <c r="AR665" s="12"/>
    </row>
    <row r="666" spans="5:44" ht="15" thickBot="1"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  <c r="AL666" s="12"/>
      <c r="AM666" s="12"/>
      <c r="AN666" s="12"/>
      <c r="AO666" s="12"/>
      <c r="AP666" s="12"/>
      <c r="AQ666" s="12"/>
      <c r="AR666" s="12"/>
    </row>
    <row r="667" spans="5:44" ht="15" thickBot="1"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  <c r="AL667" s="12"/>
      <c r="AM667" s="12"/>
      <c r="AN667" s="12"/>
      <c r="AO667" s="12"/>
      <c r="AP667" s="12"/>
      <c r="AQ667" s="12"/>
      <c r="AR667" s="12"/>
    </row>
    <row r="668" spans="5:44" ht="15" thickBot="1"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  <c r="AL668" s="12"/>
      <c r="AM668" s="12"/>
      <c r="AN668" s="12"/>
      <c r="AO668" s="12"/>
      <c r="AP668" s="12"/>
      <c r="AQ668" s="12"/>
      <c r="AR668" s="12"/>
    </row>
    <row r="669" spans="5:44" ht="15" thickBot="1"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  <c r="AL669" s="12"/>
      <c r="AM669" s="12"/>
      <c r="AN669" s="12"/>
      <c r="AO669" s="12"/>
      <c r="AP669" s="12"/>
      <c r="AQ669" s="12"/>
      <c r="AR669" s="12"/>
    </row>
    <row r="670" spans="5:44" ht="15" thickBot="1"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  <c r="AL670" s="12"/>
      <c r="AM670" s="12"/>
      <c r="AN670" s="12"/>
      <c r="AO670" s="12"/>
      <c r="AP670" s="12"/>
      <c r="AQ670" s="12"/>
      <c r="AR670" s="12"/>
    </row>
    <row r="671" spans="5:44" ht="15" thickBot="1"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/>
      <c r="AP671" s="12"/>
      <c r="AQ671" s="12"/>
      <c r="AR671" s="12"/>
    </row>
    <row r="672" spans="5:44" ht="15" thickBot="1"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  <c r="AL672" s="12"/>
      <c r="AM672" s="12"/>
      <c r="AN672" s="12"/>
      <c r="AO672" s="12"/>
      <c r="AP672" s="12"/>
      <c r="AQ672" s="12"/>
      <c r="AR672" s="12"/>
    </row>
    <row r="673" spans="5:44" ht="15" thickBot="1"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  <c r="AL673" s="12"/>
      <c r="AM673" s="12"/>
      <c r="AN673" s="12"/>
      <c r="AO673" s="12"/>
      <c r="AP673" s="12"/>
      <c r="AQ673" s="12"/>
      <c r="AR673" s="12"/>
    </row>
    <row r="674" spans="5:44" ht="15" thickBot="1"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  <c r="AL674" s="12"/>
      <c r="AM674" s="12"/>
      <c r="AN674" s="12"/>
      <c r="AO674" s="12"/>
      <c r="AP674" s="12"/>
      <c r="AQ674" s="12"/>
      <c r="AR674" s="12"/>
    </row>
    <row r="675" spans="5:44" ht="15" thickBot="1"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  <c r="AL675" s="12"/>
      <c r="AM675" s="12"/>
      <c r="AN675" s="12"/>
      <c r="AO675" s="12"/>
      <c r="AP675" s="12"/>
      <c r="AQ675" s="12"/>
      <c r="AR675" s="12"/>
    </row>
    <row r="676" spans="5:44" ht="15" thickBot="1"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  <c r="AL676" s="12"/>
      <c r="AM676" s="12"/>
      <c r="AN676" s="12"/>
      <c r="AO676" s="12"/>
      <c r="AP676" s="12"/>
      <c r="AQ676" s="12"/>
      <c r="AR676" s="12"/>
    </row>
    <row r="677" spans="5:44" ht="15" thickBot="1"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  <c r="AL677" s="12"/>
      <c r="AM677" s="12"/>
      <c r="AN677" s="12"/>
      <c r="AO677" s="12"/>
      <c r="AP677" s="12"/>
      <c r="AQ677" s="12"/>
      <c r="AR677" s="12"/>
    </row>
    <row r="678" spans="5:44" ht="15" thickBot="1"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  <c r="AL678" s="12"/>
      <c r="AM678" s="12"/>
      <c r="AN678" s="12"/>
      <c r="AO678" s="12"/>
      <c r="AP678" s="12"/>
      <c r="AQ678" s="12"/>
      <c r="AR678" s="12"/>
    </row>
    <row r="679" spans="5:44" ht="15" thickBot="1"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  <c r="AL679" s="12"/>
      <c r="AM679" s="12"/>
      <c r="AN679" s="12"/>
      <c r="AO679" s="12"/>
      <c r="AP679" s="12"/>
      <c r="AQ679" s="12"/>
      <c r="AR679" s="12"/>
    </row>
    <row r="680" spans="5:44" ht="15" thickBot="1"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  <c r="AL680" s="12"/>
      <c r="AM680" s="12"/>
      <c r="AN680" s="12"/>
      <c r="AO680" s="12"/>
      <c r="AP680" s="12"/>
      <c r="AQ680" s="12"/>
      <c r="AR680" s="12"/>
    </row>
    <row r="681" spans="5:44" ht="15" thickBot="1"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  <c r="AL681" s="12"/>
      <c r="AM681" s="12"/>
      <c r="AN681" s="12"/>
      <c r="AO681" s="12"/>
      <c r="AP681" s="12"/>
      <c r="AQ681" s="12"/>
      <c r="AR681" s="12"/>
    </row>
    <row r="682" spans="5:44" ht="15" thickBot="1"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  <c r="AL682" s="12"/>
      <c r="AM682" s="12"/>
      <c r="AN682" s="12"/>
      <c r="AO682" s="12"/>
      <c r="AP682" s="12"/>
      <c r="AQ682" s="12"/>
      <c r="AR682" s="12"/>
    </row>
    <row r="683" spans="5:44" ht="15" thickBot="1"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  <c r="AL683" s="12"/>
      <c r="AM683" s="12"/>
      <c r="AN683" s="12"/>
      <c r="AO683" s="12"/>
      <c r="AP683" s="12"/>
      <c r="AQ683" s="12"/>
      <c r="AR683" s="12"/>
    </row>
    <row r="684" spans="5:44" ht="15" thickBot="1"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  <c r="AL684" s="12"/>
      <c r="AM684" s="12"/>
      <c r="AN684" s="12"/>
      <c r="AO684" s="12"/>
      <c r="AP684" s="12"/>
      <c r="AQ684" s="12"/>
      <c r="AR684" s="12"/>
    </row>
    <row r="685" spans="5:44" ht="15" thickBot="1"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  <c r="AL685" s="12"/>
      <c r="AM685" s="12"/>
      <c r="AN685" s="12"/>
      <c r="AO685" s="12"/>
      <c r="AP685" s="12"/>
      <c r="AQ685" s="12"/>
      <c r="AR685" s="12"/>
    </row>
    <row r="686" spans="5:44" ht="15" thickBot="1"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  <c r="AL686" s="12"/>
      <c r="AM686" s="12"/>
      <c r="AN686" s="12"/>
      <c r="AO686" s="12"/>
      <c r="AP686" s="12"/>
      <c r="AQ686" s="12"/>
      <c r="AR686" s="12"/>
    </row>
    <row r="687" spans="5:44" ht="15" thickBot="1"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  <c r="AL687" s="12"/>
      <c r="AM687" s="12"/>
      <c r="AN687" s="12"/>
      <c r="AO687" s="12"/>
      <c r="AP687" s="12"/>
      <c r="AQ687" s="12"/>
      <c r="AR687" s="12"/>
    </row>
    <row r="688" spans="5:44" ht="15" thickBot="1"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  <c r="AL688" s="12"/>
      <c r="AM688" s="12"/>
      <c r="AN688" s="12"/>
      <c r="AO688" s="12"/>
      <c r="AP688" s="12"/>
      <c r="AQ688" s="12"/>
      <c r="AR688" s="12"/>
    </row>
    <row r="689" spans="5:44" ht="15" thickBot="1"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  <c r="AL689" s="12"/>
      <c r="AM689" s="12"/>
      <c r="AN689" s="12"/>
      <c r="AO689" s="12"/>
      <c r="AP689" s="12"/>
      <c r="AQ689" s="12"/>
      <c r="AR689" s="12"/>
    </row>
    <row r="690" spans="5:44" ht="15" thickBot="1"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  <c r="AL690" s="12"/>
      <c r="AM690" s="12"/>
      <c r="AN690" s="12"/>
      <c r="AO690" s="12"/>
      <c r="AP690" s="12"/>
      <c r="AQ690" s="12"/>
      <c r="AR690" s="12"/>
    </row>
    <row r="691" spans="5:44" ht="15" thickBot="1"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  <c r="AL691" s="12"/>
      <c r="AM691" s="12"/>
      <c r="AN691" s="12"/>
      <c r="AO691" s="12"/>
      <c r="AP691" s="12"/>
      <c r="AQ691" s="12"/>
      <c r="AR691" s="12"/>
    </row>
    <row r="692" spans="5:44" ht="15" thickBot="1"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  <c r="AL692" s="12"/>
      <c r="AM692" s="12"/>
      <c r="AN692" s="12"/>
      <c r="AO692" s="12"/>
      <c r="AP692" s="12"/>
      <c r="AQ692" s="12"/>
      <c r="AR692" s="12"/>
    </row>
    <row r="693" spans="5:44" ht="15" thickBot="1"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  <c r="AL693" s="12"/>
      <c r="AM693" s="12"/>
      <c r="AN693" s="12"/>
      <c r="AO693" s="12"/>
      <c r="AP693" s="12"/>
      <c r="AQ693" s="12"/>
      <c r="AR693" s="12"/>
    </row>
    <row r="694" spans="5:44" ht="15" thickBot="1"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  <c r="AL694" s="12"/>
      <c r="AM694" s="12"/>
      <c r="AN694" s="12"/>
      <c r="AO694" s="12"/>
      <c r="AP694" s="12"/>
      <c r="AQ694" s="12"/>
      <c r="AR694" s="12"/>
    </row>
    <row r="695" spans="5:44" ht="15" thickBot="1"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  <c r="AL695" s="12"/>
      <c r="AM695" s="12"/>
      <c r="AN695" s="12"/>
      <c r="AO695" s="12"/>
      <c r="AP695" s="12"/>
      <c r="AQ695" s="12"/>
      <c r="AR695" s="12"/>
    </row>
    <row r="696" spans="5:44" ht="15" thickBot="1"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  <c r="AL696" s="12"/>
      <c r="AM696" s="12"/>
      <c r="AN696" s="12"/>
      <c r="AO696" s="12"/>
      <c r="AP696" s="12"/>
      <c r="AQ696" s="12"/>
      <c r="AR696" s="12"/>
    </row>
    <row r="697" spans="5:44" ht="15" thickBot="1"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  <c r="AL697" s="12"/>
      <c r="AM697" s="12"/>
      <c r="AN697" s="12"/>
      <c r="AO697" s="12"/>
      <c r="AP697" s="12"/>
      <c r="AQ697" s="12"/>
      <c r="AR697" s="12"/>
    </row>
    <row r="698" spans="5:44" ht="15" thickBot="1"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  <c r="AL698" s="12"/>
      <c r="AM698" s="12"/>
      <c r="AN698" s="12"/>
      <c r="AO698" s="12"/>
      <c r="AP698" s="12"/>
      <c r="AQ698" s="12"/>
      <c r="AR698" s="12"/>
    </row>
    <row r="699" spans="5:44" ht="15" thickBot="1"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  <c r="AL699" s="12"/>
      <c r="AM699" s="12"/>
      <c r="AN699" s="12"/>
      <c r="AO699" s="12"/>
      <c r="AP699" s="12"/>
      <c r="AQ699" s="12"/>
      <c r="AR699" s="12"/>
    </row>
    <row r="700" spans="5:44" ht="15" thickBot="1"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  <c r="AL700" s="12"/>
      <c r="AM700" s="12"/>
      <c r="AN700" s="12"/>
      <c r="AO700" s="12"/>
      <c r="AP700" s="12"/>
      <c r="AQ700" s="12"/>
      <c r="AR700" s="12"/>
    </row>
    <row r="701" spans="5:44" ht="15" thickBot="1"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  <c r="AL701" s="12"/>
      <c r="AM701" s="12"/>
      <c r="AN701" s="12"/>
      <c r="AO701" s="12"/>
      <c r="AP701" s="12"/>
      <c r="AQ701" s="12"/>
      <c r="AR701" s="12"/>
    </row>
    <row r="702" spans="5:44" ht="15" thickBot="1"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  <c r="AL702" s="12"/>
      <c r="AM702" s="12"/>
      <c r="AN702" s="12"/>
      <c r="AO702" s="12"/>
      <c r="AP702" s="12"/>
      <c r="AQ702" s="12"/>
      <c r="AR702" s="12"/>
    </row>
    <row r="703" spans="5:44" ht="15" thickBot="1"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  <c r="AL703" s="12"/>
      <c r="AM703" s="12"/>
      <c r="AN703" s="12"/>
      <c r="AO703" s="12"/>
      <c r="AP703" s="12"/>
      <c r="AQ703" s="12"/>
      <c r="AR703" s="12"/>
    </row>
    <row r="704" spans="5:44" ht="15" thickBot="1"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/>
      <c r="AP704" s="12"/>
      <c r="AQ704" s="12"/>
      <c r="AR704" s="12"/>
    </row>
    <row r="705" spans="5:44" ht="15" thickBot="1"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  <c r="AL705" s="12"/>
      <c r="AM705" s="12"/>
      <c r="AN705" s="12"/>
      <c r="AO705" s="12"/>
      <c r="AP705" s="12"/>
      <c r="AQ705" s="12"/>
      <c r="AR705" s="12"/>
    </row>
    <row r="706" spans="5:44" ht="15" thickBot="1"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  <c r="AL706" s="12"/>
      <c r="AM706" s="12"/>
      <c r="AN706" s="12"/>
      <c r="AO706" s="12"/>
      <c r="AP706" s="12"/>
      <c r="AQ706" s="12"/>
      <c r="AR706" s="12"/>
    </row>
    <row r="707" spans="5:44" ht="15" thickBot="1"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  <c r="AL707" s="12"/>
      <c r="AM707" s="12"/>
      <c r="AN707" s="12"/>
      <c r="AO707" s="12"/>
      <c r="AP707" s="12"/>
      <c r="AQ707" s="12"/>
      <c r="AR707" s="12"/>
    </row>
    <row r="708" spans="5:44" ht="15" thickBot="1"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  <c r="AL708" s="12"/>
      <c r="AM708" s="12"/>
      <c r="AN708" s="12"/>
      <c r="AO708" s="12"/>
      <c r="AP708" s="12"/>
      <c r="AQ708" s="12"/>
      <c r="AR708" s="12"/>
    </row>
    <row r="709" spans="5:44" ht="15" thickBot="1"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  <c r="AL709" s="12"/>
      <c r="AM709" s="12"/>
      <c r="AN709" s="12"/>
      <c r="AO709" s="12"/>
      <c r="AP709" s="12"/>
      <c r="AQ709" s="12"/>
      <c r="AR709" s="12"/>
    </row>
    <row r="710" spans="5:44" ht="15" thickBot="1"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  <c r="AL710" s="12"/>
      <c r="AM710" s="12"/>
      <c r="AN710" s="12"/>
      <c r="AO710" s="12"/>
      <c r="AP710" s="12"/>
      <c r="AQ710" s="12"/>
      <c r="AR710" s="12"/>
    </row>
    <row r="711" spans="5:44" ht="15" thickBot="1"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  <c r="AL711" s="12"/>
      <c r="AM711" s="12"/>
      <c r="AN711" s="12"/>
      <c r="AO711" s="12"/>
      <c r="AP711" s="12"/>
      <c r="AQ711" s="12"/>
      <c r="AR711" s="12"/>
    </row>
    <row r="712" spans="5:44" ht="15" thickBot="1"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  <c r="AL712" s="12"/>
      <c r="AM712" s="12"/>
      <c r="AN712" s="12"/>
      <c r="AO712" s="12"/>
      <c r="AP712" s="12"/>
      <c r="AQ712" s="12"/>
      <c r="AR712" s="12"/>
    </row>
    <row r="713" spans="5:44" ht="15" thickBot="1"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  <c r="AL713" s="12"/>
      <c r="AM713" s="12"/>
      <c r="AN713" s="12"/>
      <c r="AO713" s="12"/>
      <c r="AP713" s="12"/>
      <c r="AQ713" s="12"/>
      <c r="AR713" s="12"/>
    </row>
    <row r="714" spans="5:44" ht="15" thickBot="1"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  <c r="AL714" s="12"/>
      <c r="AM714" s="12"/>
      <c r="AN714" s="12"/>
      <c r="AO714" s="12"/>
      <c r="AP714" s="12"/>
      <c r="AQ714" s="12"/>
      <c r="AR714" s="12"/>
    </row>
    <row r="715" spans="5:44" ht="15" thickBot="1"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  <c r="AL715" s="12"/>
      <c r="AM715" s="12"/>
      <c r="AN715" s="12"/>
      <c r="AO715" s="12"/>
      <c r="AP715" s="12"/>
      <c r="AQ715" s="12"/>
      <c r="AR715" s="12"/>
    </row>
    <row r="716" spans="5:44" ht="15" thickBot="1"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  <c r="AL716" s="12"/>
      <c r="AM716" s="12"/>
      <c r="AN716" s="12"/>
      <c r="AO716" s="12"/>
      <c r="AP716" s="12"/>
      <c r="AQ716" s="12"/>
      <c r="AR716" s="12"/>
    </row>
    <row r="717" spans="5:44" ht="15" thickBot="1"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  <c r="AL717" s="12"/>
      <c r="AM717" s="12"/>
      <c r="AN717" s="12"/>
      <c r="AO717" s="12"/>
      <c r="AP717" s="12"/>
      <c r="AQ717" s="12"/>
      <c r="AR717" s="12"/>
    </row>
    <row r="718" spans="5:44" ht="15" thickBot="1"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  <c r="AL718" s="12"/>
      <c r="AM718" s="12"/>
      <c r="AN718" s="12"/>
      <c r="AO718" s="12"/>
      <c r="AP718" s="12"/>
      <c r="AQ718" s="12"/>
      <c r="AR718" s="12"/>
    </row>
    <row r="719" spans="5:44" ht="15" thickBot="1"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  <c r="AL719" s="12"/>
      <c r="AM719" s="12"/>
      <c r="AN719" s="12"/>
      <c r="AO719" s="12"/>
      <c r="AP719" s="12"/>
      <c r="AQ719" s="12"/>
      <c r="AR719" s="12"/>
    </row>
    <row r="720" spans="5:44" ht="15" thickBot="1"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  <c r="AL720" s="12"/>
      <c r="AM720" s="12"/>
      <c r="AN720" s="12"/>
      <c r="AO720" s="12"/>
      <c r="AP720" s="12"/>
      <c r="AQ720" s="12"/>
      <c r="AR720" s="12"/>
    </row>
    <row r="721" spans="5:44" ht="15" thickBot="1"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  <c r="AL721" s="12"/>
      <c r="AM721" s="12"/>
      <c r="AN721" s="12"/>
      <c r="AO721" s="12"/>
      <c r="AP721" s="12"/>
      <c r="AQ721" s="12"/>
      <c r="AR721" s="12"/>
    </row>
    <row r="722" spans="5:44" ht="15" thickBot="1"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  <c r="AL722" s="12"/>
      <c r="AM722" s="12"/>
      <c r="AN722" s="12"/>
      <c r="AO722" s="12"/>
      <c r="AP722" s="12"/>
      <c r="AQ722" s="12"/>
      <c r="AR722" s="12"/>
    </row>
    <row r="723" spans="5:44" ht="15" thickBot="1"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  <c r="AL723" s="12"/>
      <c r="AM723" s="12"/>
      <c r="AN723" s="12"/>
      <c r="AO723" s="12"/>
      <c r="AP723" s="12"/>
      <c r="AQ723" s="12"/>
      <c r="AR723" s="12"/>
    </row>
    <row r="724" spans="5:44" ht="15" thickBot="1"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  <c r="AL724" s="12"/>
      <c r="AM724" s="12"/>
      <c r="AN724" s="12"/>
      <c r="AO724" s="12"/>
      <c r="AP724" s="12"/>
      <c r="AQ724" s="12"/>
      <c r="AR724" s="12"/>
    </row>
    <row r="725" spans="5:44" ht="15" thickBot="1"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  <c r="AL725" s="12"/>
      <c r="AM725" s="12"/>
      <c r="AN725" s="12"/>
      <c r="AO725" s="12"/>
      <c r="AP725" s="12"/>
      <c r="AQ725" s="12"/>
      <c r="AR725" s="12"/>
    </row>
    <row r="726" spans="5:44" ht="15" thickBot="1"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  <c r="AL726" s="12"/>
      <c r="AM726" s="12"/>
      <c r="AN726" s="12"/>
      <c r="AO726" s="12"/>
      <c r="AP726" s="12"/>
      <c r="AQ726" s="12"/>
      <c r="AR726" s="12"/>
    </row>
    <row r="727" spans="5:44" ht="15" thickBot="1"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  <c r="AL727" s="12"/>
      <c r="AM727" s="12"/>
      <c r="AN727" s="12"/>
      <c r="AO727" s="12"/>
      <c r="AP727" s="12"/>
      <c r="AQ727" s="12"/>
      <c r="AR727" s="12"/>
    </row>
    <row r="728" spans="5:44" ht="15" thickBot="1"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  <c r="AL728" s="12"/>
      <c r="AM728" s="12"/>
      <c r="AN728" s="12"/>
      <c r="AO728" s="12"/>
      <c r="AP728" s="12"/>
      <c r="AQ728" s="12"/>
      <c r="AR728" s="12"/>
    </row>
    <row r="729" spans="5:44" ht="15" thickBot="1"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  <c r="AL729" s="12"/>
      <c r="AM729" s="12"/>
      <c r="AN729" s="12"/>
      <c r="AO729" s="12"/>
      <c r="AP729" s="12"/>
      <c r="AQ729" s="12"/>
      <c r="AR729" s="12"/>
    </row>
    <row r="730" spans="5:44" ht="15" thickBot="1"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  <c r="AL730" s="12"/>
      <c r="AM730" s="12"/>
      <c r="AN730" s="12"/>
      <c r="AO730" s="12"/>
      <c r="AP730" s="12"/>
      <c r="AQ730" s="12"/>
      <c r="AR730" s="12"/>
    </row>
    <row r="731" spans="5:44" ht="15" thickBot="1"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  <c r="AL731" s="12"/>
      <c r="AM731" s="12"/>
      <c r="AN731" s="12"/>
      <c r="AO731" s="12"/>
      <c r="AP731" s="12"/>
      <c r="AQ731" s="12"/>
      <c r="AR731" s="12"/>
    </row>
    <row r="732" spans="5:44" ht="15" thickBot="1"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  <c r="AL732" s="12"/>
      <c r="AM732" s="12"/>
      <c r="AN732" s="12"/>
      <c r="AO732" s="12"/>
      <c r="AP732" s="12"/>
      <c r="AQ732" s="12"/>
      <c r="AR732" s="12"/>
    </row>
    <row r="733" spans="5:44" ht="15" thickBot="1"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  <c r="AL733" s="12"/>
      <c r="AM733" s="12"/>
      <c r="AN733" s="12"/>
      <c r="AO733" s="12"/>
      <c r="AP733" s="12"/>
      <c r="AQ733" s="12"/>
      <c r="AR733" s="12"/>
    </row>
    <row r="734" spans="5:44" ht="15" thickBot="1"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  <c r="AL734" s="12"/>
      <c r="AM734" s="12"/>
      <c r="AN734" s="12"/>
      <c r="AO734" s="12"/>
      <c r="AP734" s="12"/>
      <c r="AQ734" s="12"/>
      <c r="AR734" s="12"/>
    </row>
    <row r="735" spans="5:44" ht="15" thickBot="1"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  <c r="AL735" s="12"/>
      <c r="AM735" s="12"/>
      <c r="AN735" s="12"/>
      <c r="AO735" s="12"/>
      <c r="AP735" s="12"/>
      <c r="AQ735" s="12"/>
      <c r="AR735" s="12"/>
    </row>
    <row r="736" spans="5:44" ht="15" thickBot="1"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  <c r="AL736" s="12"/>
      <c r="AM736" s="12"/>
      <c r="AN736" s="12"/>
      <c r="AO736" s="12"/>
      <c r="AP736" s="12"/>
      <c r="AQ736" s="12"/>
      <c r="AR736" s="12"/>
    </row>
    <row r="737" spans="5:44" ht="15" thickBot="1"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  <c r="AL737" s="12"/>
      <c r="AM737" s="12"/>
      <c r="AN737" s="12"/>
      <c r="AO737" s="12"/>
      <c r="AP737" s="12"/>
      <c r="AQ737" s="12"/>
      <c r="AR737" s="12"/>
    </row>
    <row r="738" spans="5:44" ht="15" thickBot="1"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  <c r="AL738" s="12"/>
      <c r="AM738" s="12"/>
      <c r="AN738" s="12"/>
      <c r="AO738" s="12"/>
      <c r="AP738" s="12"/>
      <c r="AQ738" s="12"/>
      <c r="AR738" s="12"/>
    </row>
    <row r="739" spans="5:44" ht="15" thickBot="1"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  <c r="AL739" s="12"/>
      <c r="AM739" s="12"/>
      <c r="AN739" s="12"/>
      <c r="AO739" s="12"/>
      <c r="AP739" s="12"/>
      <c r="AQ739" s="12"/>
      <c r="AR739" s="12"/>
    </row>
    <row r="740" spans="5:44" ht="15" thickBot="1"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  <c r="AL740" s="12"/>
      <c r="AM740" s="12"/>
      <c r="AN740" s="12"/>
      <c r="AO740" s="12"/>
      <c r="AP740" s="12"/>
      <c r="AQ740" s="12"/>
      <c r="AR740" s="12"/>
    </row>
    <row r="741" spans="5:44" ht="15" thickBot="1"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  <c r="AL741" s="12"/>
      <c r="AM741" s="12"/>
      <c r="AN741" s="12"/>
      <c r="AO741" s="12"/>
      <c r="AP741" s="12"/>
      <c r="AQ741" s="12"/>
      <c r="AR741" s="12"/>
    </row>
    <row r="742" spans="5:44" ht="15" thickBot="1"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  <c r="AL742" s="12"/>
      <c r="AM742" s="12"/>
      <c r="AN742" s="12"/>
      <c r="AO742" s="12"/>
      <c r="AP742" s="12"/>
      <c r="AQ742" s="12"/>
      <c r="AR742" s="12"/>
    </row>
    <row r="743" spans="5:44" ht="15" thickBot="1"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  <c r="AL743" s="12"/>
      <c r="AM743" s="12"/>
      <c r="AN743" s="12"/>
      <c r="AO743" s="12"/>
      <c r="AP743" s="12"/>
      <c r="AQ743" s="12"/>
      <c r="AR743" s="12"/>
    </row>
    <row r="744" spans="5:44" ht="15" thickBot="1"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  <c r="AL744" s="12"/>
      <c r="AM744" s="12"/>
      <c r="AN744" s="12"/>
      <c r="AO744" s="12"/>
      <c r="AP744" s="12"/>
      <c r="AQ744" s="12"/>
      <c r="AR744" s="12"/>
    </row>
    <row r="745" spans="5:44" ht="15" thickBot="1"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  <c r="AL745" s="12"/>
      <c r="AM745" s="12"/>
      <c r="AN745" s="12"/>
      <c r="AO745" s="12"/>
      <c r="AP745" s="12"/>
      <c r="AQ745" s="12"/>
      <c r="AR745" s="12"/>
    </row>
    <row r="746" spans="5:44" ht="15" thickBot="1"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  <c r="AL746" s="12"/>
      <c r="AM746" s="12"/>
      <c r="AN746" s="12"/>
      <c r="AO746" s="12"/>
      <c r="AP746" s="12"/>
      <c r="AQ746" s="12"/>
      <c r="AR746" s="12"/>
    </row>
    <row r="747" spans="5:44" ht="15" thickBot="1"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  <c r="AL747" s="12"/>
      <c r="AM747" s="12"/>
      <c r="AN747" s="12"/>
      <c r="AO747" s="12"/>
      <c r="AP747" s="12"/>
      <c r="AQ747" s="12"/>
      <c r="AR747" s="12"/>
    </row>
    <row r="748" spans="5:44" ht="15" thickBot="1"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  <c r="AL748" s="12"/>
      <c r="AM748" s="12"/>
      <c r="AN748" s="12"/>
      <c r="AO748" s="12"/>
      <c r="AP748" s="12"/>
      <c r="AQ748" s="12"/>
      <c r="AR748" s="12"/>
    </row>
    <row r="749" spans="5:44" ht="15" thickBot="1"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  <c r="AL749" s="12"/>
      <c r="AM749" s="12"/>
      <c r="AN749" s="12"/>
      <c r="AO749" s="12"/>
      <c r="AP749" s="12"/>
      <c r="AQ749" s="12"/>
      <c r="AR749" s="12"/>
    </row>
    <row r="750" spans="5:44" ht="15" thickBot="1"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  <c r="AL750" s="12"/>
      <c r="AM750" s="12"/>
      <c r="AN750" s="12"/>
      <c r="AO750" s="12"/>
      <c r="AP750" s="12"/>
      <c r="AQ750" s="12"/>
      <c r="AR750" s="12"/>
    </row>
    <row r="751" spans="5:44" ht="15" thickBot="1"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  <c r="AL751" s="12"/>
      <c r="AM751" s="12"/>
      <c r="AN751" s="12"/>
      <c r="AO751" s="12"/>
      <c r="AP751" s="12"/>
      <c r="AQ751" s="12"/>
      <c r="AR751" s="12"/>
    </row>
    <row r="752" spans="5:44" ht="15" thickBot="1"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  <c r="AL752" s="12"/>
      <c r="AM752" s="12"/>
      <c r="AN752" s="12"/>
      <c r="AO752" s="12"/>
      <c r="AP752" s="12"/>
      <c r="AQ752" s="12"/>
      <c r="AR752" s="12"/>
    </row>
    <row r="753" spans="5:44" ht="15" thickBot="1"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  <c r="AL753" s="12"/>
      <c r="AM753" s="12"/>
      <c r="AN753" s="12"/>
      <c r="AO753" s="12"/>
      <c r="AP753" s="12"/>
      <c r="AQ753" s="12"/>
      <c r="AR753" s="12"/>
    </row>
    <row r="754" spans="5:44" ht="15" thickBot="1"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  <c r="AL754" s="12"/>
      <c r="AM754" s="12"/>
      <c r="AN754" s="12"/>
      <c r="AO754" s="12"/>
      <c r="AP754" s="12"/>
      <c r="AQ754" s="12"/>
      <c r="AR754" s="12"/>
    </row>
    <row r="755" spans="5:44" ht="15" thickBot="1"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  <c r="AL755" s="12"/>
      <c r="AM755" s="12"/>
      <c r="AN755" s="12"/>
      <c r="AO755" s="12"/>
      <c r="AP755" s="12"/>
      <c r="AQ755" s="12"/>
      <c r="AR755" s="12"/>
    </row>
    <row r="756" spans="5:44" ht="15" thickBot="1"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  <c r="AL756" s="12"/>
      <c r="AM756" s="12"/>
      <c r="AN756" s="12"/>
      <c r="AO756" s="12"/>
      <c r="AP756" s="12"/>
      <c r="AQ756" s="12"/>
      <c r="AR756" s="12"/>
    </row>
    <row r="757" spans="5:44" ht="15" thickBot="1"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  <c r="AL757" s="12"/>
      <c r="AM757" s="12"/>
      <c r="AN757" s="12"/>
      <c r="AO757" s="12"/>
      <c r="AP757" s="12"/>
      <c r="AQ757" s="12"/>
      <c r="AR757" s="12"/>
    </row>
    <row r="758" spans="5:44" ht="15" thickBot="1"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  <c r="AL758" s="12"/>
      <c r="AM758" s="12"/>
      <c r="AN758" s="12"/>
      <c r="AO758" s="12"/>
      <c r="AP758" s="12"/>
      <c r="AQ758" s="12"/>
      <c r="AR758" s="12"/>
    </row>
    <row r="759" spans="5:44" ht="15" thickBot="1"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  <c r="AL759" s="12"/>
      <c r="AM759" s="12"/>
      <c r="AN759" s="12"/>
      <c r="AO759" s="12"/>
      <c r="AP759" s="12"/>
      <c r="AQ759" s="12"/>
      <c r="AR759" s="12"/>
    </row>
    <row r="760" spans="5:44" ht="15" thickBot="1"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  <c r="AL760" s="12"/>
      <c r="AM760" s="12"/>
      <c r="AN760" s="12"/>
      <c r="AO760" s="12"/>
      <c r="AP760" s="12"/>
      <c r="AQ760" s="12"/>
      <c r="AR760" s="12"/>
    </row>
    <row r="761" spans="5:44" ht="15" thickBot="1"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  <c r="AL761" s="12"/>
      <c r="AM761" s="12"/>
      <c r="AN761" s="12"/>
      <c r="AO761" s="12"/>
      <c r="AP761" s="12"/>
      <c r="AQ761" s="12"/>
      <c r="AR761" s="12"/>
    </row>
    <row r="762" spans="5:44" ht="15" thickBot="1"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  <c r="AL762" s="12"/>
      <c r="AM762" s="12"/>
      <c r="AN762" s="12"/>
      <c r="AO762" s="12"/>
      <c r="AP762" s="12"/>
      <c r="AQ762" s="12"/>
      <c r="AR762" s="12"/>
    </row>
    <row r="763" spans="5:44" ht="15" thickBot="1"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  <c r="AL763" s="12"/>
      <c r="AM763" s="12"/>
      <c r="AN763" s="12"/>
      <c r="AO763" s="12"/>
      <c r="AP763" s="12"/>
      <c r="AQ763" s="12"/>
      <c r="AR763" s="12"/>
    </row>
    <row r="764" spans="5:44" ht="15" thickBot="1"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  <c r="AL764" s="12"/>
      <c r="AM764" s="12"/>
      <c r="AN764" s="12"/>
      <c r="AO764" s="12"/>
      <c r="AP764" s="12"/>
      <c r="AQ764" s="12"/>
      <c r="AR764" s="12"/>
    </row>
    <row r="765" spans="5:44" ht="15" thickBot="1"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  <c r="AL765" s="12"/>
      <c r="AM765" s="12"/>
      <c r="AN765" s="12"/>
      <c r="AO765" s="12"/>
      <c r="AP765" s="12"/>
      <c r="AQ765" s="12"/>
      <c r="AR765" s="12"/>
    </row>
    <row r="766" spans="5:44" ht="15" thickBot="1"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  <c r="AL766" s="12"/>
      <c r="AM766" s="12"/>
      <c r="AN766" s="12"/>
      <c r="AO766" s="12"/>
      <c r="AP766" s="12"/>
      <c r="AQ766" s="12"/>
      <c r="AR766" s="12"/>
    </row>
    <row r="767" spans="5:44" ht="15" thickBot="1"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  <c r="AL767" s="12"/>
      <c r="AM767" s="12"/>
      <c r="AN767" s="12"/>
      <c r="AO767" s="12"/>
      <c r="AP767" s="12"/>
      <c r="AQ767" s="12"/>
      <c r="AR767" s="12"/>
    </row>
    <row r="768" spans="5:44" ht="15" thickBot="1"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  <c r="AL768" s="12"/>
      <c r="AM768" s="12"/>
      <c r="AN768" s="12"/>
      <c r="AO768" s="12"/>
      <c r="AP768" s="12"/>
      <c r="AQ768" s="12"/>
      <c r="AR768" s="12"/>
    </row>
    <row r="769" spans="5:44" ht="15" thickBot="1"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  <c r="AL769" s="12"/>
      <c r="AM769" s="12"/>
      <c r="AN769" s="12"/>
      <c r="AO769" s="12"/>
      <c r="AP769" s="12"/>
      <c r="AQ769" s="12"/>
      <c r="AR769" s="12"/>
    </row>
    <row r="770" spans="5:44" ht="15" thickBot="1"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  <c r="AL770" s="12"/>
      <c r="AM770" s="12"/>
      <c r="AN770" s="12"/>
      <c r="AO770" s="12"/>
      <c r="AP770" s="12"/>
      <c r="AQ770" s="12"/>
      <c r="AR770" s="12"/>
    </row>
    <row r="771" spans="5:44" ht="15" thickBot="1"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  <c r="AL771" s="12"/>
      <c r="AM771" s="12"/>
      <c r="AN771" s="12"/>
      <c r="AO771" s="12"/>
      <c r="AP771" s="12"/>
      <c r="AQ771" s="12"/>
      <c r="AR771" s="12"/>
    </row>
    <row r="772" spans="5:44" ht="15" thickBot="1"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  <c r="AL772" s="12"/>
      <c r="AM772" s="12"/>
      <c r="AN772" s="12"/>
      <c r="AO772" s="12"/>
      <c r="AP772" s="12"/>
      <c r="AQ772" s="12"/>
      <c r="AR772" s="12"/>
    </row>
    <row r="773" spans="5:44" ht="15" thickBot="1"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  <c r="AL773" s="12"/>
      <c r="AM773" s="12"/>
      <c r="AN773" s="12"/>
      <c r="AO773" s="12"/>
      <c r="AP773" s="12"/>
      <c r="AQ773" s="12"/>
      <c r="AR773" s="12"/>
    </row>
    <row r="774" spans="5:44" ht="15" thickBot="1"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  <c r="AL774" s="12"/>
      <c r="AM774" s="12"/>
      <c r="AN774" s="12"/>
      <c r="AO774" s="12"/>
      <c r="AP774" s="12"/>
      <c r="AQ774" s="12"/>
      <c r="AR774" s="12"/>
    </row>
    <row r="775" spans="5:44" ht="15" thickBot="1"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  <c r="AL775" s="12"/>
      <c r="AM775" s="12"/>
      <c r="AN775" s="12"/>
      <c r="AO775" s="12"/>
      <c r="AP775" s="12"/>
      <c r="AQ775" s="12"/>
      <c r="AR775" s="12"/>
    </row>
    <row r="776" spans="5:44" ht="15" thickBot="1"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  <c r="AL776" s="12"/>
      <c r="AM776" s="12"/>
      <c r="AN776" s="12"/>
      <c r="AO776" s="12"/>
      <c r="AP776" s="12"/>
      <c r="AQ776" s="12"/>
      <c r="AR776" s="12"/>
    </row>
    <row r="777" spans="5:44" ht="15" thickBot="1"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  <c r="AL777" s="12"/>
      <c r="AM777" s="12"/>
      <c r="AN777" s="12"/>
      <c r="AO777" s="12"/>
      <c r="AP777" s="12"/>
      <c r="AQ777" s="12"/>
      <c r="AR777" s="12"/>
    </row>
    <row r="778" spans="5:44" ht="15" thickBot="1"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  <c r="AL778" s="12"/>
      <c r="AM778" s="12"/>
      <c r="AN778" s="12"/>
      <c r="AO778" s="12"/>
      <c r="AP778" s="12"/>
      <c r="AQ778" s="12"/>
      <c r="AR778" s="12"/>
    </row>
    <row r="779" spans="5:44" ht="15" thickBot="1"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  <c r="AL779" s="12"/>
      <c r="AM779" s="12"/>
      <c r="AN779" s="12"/>
      <c r="AO779" s="12"/>
      <c r="AP779" s="12"/>
      <c r="AQ779" s="12"/>
      <c r="AR779" s="12"/>
    </row>
    <row r="780" spans="5:44" ht="15" thickBot="1"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  <c r="AL780" s="12"/>
      <c r="AM780" s="12"/>
      <c r="AN780" s="12"/>
      <c r="AO780" s="12"/>
      <c r="AP780" s="12"/>
      <c r="AQ780" s="12"/>
      <c r="AR780" s="12"/>
    </row>
    <row r="781" spans="5:44" ht="15" thickBot="1"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  <c r="AL781" s="12"/>
      <c r="AM781" s="12"/>
      <c r="AN781" s="12"/>
      <c r="AO781" s="12"/>
      <c r="AP781" s="12"/>
      <c r="AQ781" s="12"/>
      <c r="AR781" s="12"/>
    </row>
    <row r="782" spans="5:44" ht="15" thickBot="1"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  <c r="AL782" s="12"/>
      <c r="AM782" s="12"/>
      <c r="AN782" s="12"/>
      <c r="AO782" s="12"/>
      <c r="AP782" s="12"/>
      <c r="AQ782" s="12"/>
      <c r="AR782" s="12"/>
    </row>
    <row r="783" spans="5:44" ht="15" thickBot="1"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  <c r="AL783" s="12"/>
      <c r="AM783" s="12"/>
      <c r="AN783" s="12"/>
      <c r="AO783" s="12"/>
      <c r="AP783" s="12"/>
      <c r="AQ783" s="12"/>
      <c r="AR783" s="12"/>
    </row>
    <row r="784" spans="5:44" ht="15" thickBot="1"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  <c r="AL784" s="12"/>
      <c r="AM784" s="12"/>
      <c r="AN784" s="12"/>
      <c r="AO784" s="12"/>
      <c r="AP784" s="12"/>
      <c r="AQ784" s="12"/>
      <c r="AR784" s="12"/>
    </row>
    <row r="785" spans="5:44" ht="15" thickBot="1"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  <c r="AL785" s="12"/>
      <c r="AM785" s="12"/>
      <c r="AN785" s="12"/>
      <c r="AO785" s="12"/>
      <c r="AP785" s="12"/>
      <c r="AQ785" s="12"/>
      <c r="AR785" s="12"/>
    </row>
    <row r="786" spans="5:44" ht="15" thickBot="1"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  <c r="AL786" s="12"/>
      <c r="AM786" s="12"/>
      <c r="AN786" s="12"/>
      <c r="AO786" s="12"/>
      <c r="AP786" s="12"/>
      <c r="AQ786" s="12"/>
      <c r="AR786" s="12"/>
    </row>
    <row r="787" spans="5:44" ht="15" thickBot="1"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  <c r="AL787" s="12"/>
      <c r="AM787" s="12"/>
      <c r="AN787" s="12"/>
      <c r="AO787" s="12"/>
      <c r="AP787" s="12"/>
      <c r="AQ787" s="12"/>
      <c r="AR787" s="12"/>
    </row>
    <row r="788" spans="5:44" ht="15" thickBot="1"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  <c r="AL788" s="12"/>
      <c r="AM788" s="12"/>
      <c r="AN788" s="12"/>
      <c r="AO788" s="12"/>
      <c r="AP788" s="12"/>
      <c r="AQ788" s="12"/>
      <c r="AR788" s="12"/>
    </row>
    <row r="789" spans="5:44" ht="15" thickBot="1"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  <c r="AL789" s="12"/>
      <c r="AM789" s="12"/>
      <c r="AN789" s="12"/>
      <c r="AO789" s="12"/>
      <c r="AP789" s="12"/>
      <c r="AQ789" s="12"/>
      <c r="AR789" s="12"/>
    </row>
    <row r="790" spans="5:44" ht="15" thickBot="1"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  <c r="AL790" s="12"/>
      <c r="AM790" s="12"/>
      <c r="AN790" s="12"/>
      <c r="AO790" s="12"/>
      <c r="AP790" s="12"/>
      <c r="AQ790" s="12"/>
      <c r="AR790" s="12"/>
    </row>
    <row r="791" spans="5:44" ht="15" thickBot="1"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  <c r="AL791" s="12"/>
      <c r="AM791" s="12"/>
      <c r="AN791" s="12"/>
      <c r="AO791" s="12"/>
      <c r="AP791" s="12"/>
      <c r="AQ791" s="12"/>
      <c r="AR791" s="12"/>
    </row>
    <row r="792" spans="5:44" ht="15" thickBot="1"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  <c r="AL792" s="12"/>
      <c r="AM792" s="12"/>
      <c r="AN792" s="12"/>
      <c r="AO792" s="12"/>
      <c r="AP792" s="12"/>
      <c r="AQ792" s="12"/>
      <c r="AR792" s="12"/>
    </row>
    <row r="793" spans="5:44" ht="15" thickBot="1"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  <c r="AL793" s="12"/>
      <c r="AM793" s="12"/>
      <c r="AN793" s="12"/>
      <c r="AO793" s="12"/>
      <c r="AP793" s="12"/>
      <c r="AQ793" s="12"/>
      <c r="AR793" s="12"/>
    </row>
    <row r="794" spans="5:44" ht="15" thickBot="1"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  <c r="AL794" s="12"/>
      <c r="AM794" s="12"/>
      <c r="AN794" s="12"/>
      <c r="AO794" s="12"/>
      <c r="AP794" s="12"/>
      <c r="AQ794" s="12"/>
      <c r="AR794" s="12"/>
    </row>
    <row r="795" spans="5:44" ht="15" thickBot="1"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  <c r="AL795" s="12"/>
      <c r="AM795" s="12"/>
      <c r="AN795" s="12"/>
      <c r="AO795" s="12"/>
      <c r="AP795" s="12"/>
      <c r="AQ795" s="12"/>
      <c r="AR795" s="12"/>
    </row>
    <row r="796" spans="5:44" ht="15" thickBot="1"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  <c r="AL796" s="12"/>
      <c r="AM796" s="12"/>
      <c r="AN796" s="12"/>
      <c r="AO796" s="12"/>
      <c r="AP796" s="12"/>
      <c r="AQ796" s="12"/>
      <c r="AR796" s="12"/>
    </row>
    <row r="797" spans="5:44" ht="15" thickBot="1"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  <c r="AL797" s="12"/>
      <c r="AM797" s="12"/>
      <c r="AN797" s="12"/>
      <c r="AO797" s="12"/>
      <c r="AP797" s="12"/>
      <c r="AQ797" s="12"/>
      <c r="AR797" s="12"/>
    </row>
    <row r="798" spans="5:44" ht="15" thickBot="1"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  <c r="AL798" s="12"/>
      <c r="AM798" s="12"/>
      <c r="AN798" s="12"/>
      <c r="AO798" s="12"/>
      <c r="AP798" s="12"/>
      <c r="AQ798" s="12"/>
      <c r="AR798" s="12"/>
    </row>
    <row r="799" spans="5:44" ht="15" thickBot="1"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  <c r="AL799" s="12"/>
      <c r="AM799" s="12"/>
      <c r="AN799" s="12"/>
      <c r="AO799" s="12"/>
      <c r="AP799" s="12"/>
      <c r="AQ799" s="12"/>
      <c r="AR799" s="12"/>
    </row>
    <row r="800" spans="5:44" ht="15" thickBot="1"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  <c r="AL800" s="12"/>
      <c r="AM800" s="12"/>
      <c r="AN800" s="12"/>
      <c r="AO800" s="12"/>
      <c r="AP800" s="12"/>
      <c r="AQ800" s="12"/>
      <c r="AR800" s="12"/>
    </row>
    <row r="801" spans="5:44" ht="15" thickBot="1"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  <c r="AL801" s="12"/>
      <c r="AM801" s="12"/>
      <c r="AN801" s="12"/>
      <c r="AO801" s="12"/>
      <c r="AP801" s="12"/>
      <c r="AQ801" s="12"/>
      <c r="AR801" s="12"/>
    </row>
    <row r="802" spans="5:44" ht="15" thickBot="1"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  <c r="AL802" s="12"/>
      <c r="AM802" s="12"/>
      <c r="AN802" s="12"/>
      <c r="AO802" s="12"/>
      <c r="AP802" s="12"/>
      <c r="AQ802" s="12"/>
      <c r="AR802" s="12"/>
    </row>
    <row r="803" spans="5:44" ht="15" thickBot="1"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  <c r="AL803" s="12"/>
      <c r="AM803" s="12"/>
      <c r="AN803" s="12"/>
      <c r="AO803" s="12"/>
      <c r="AP803" s="12"/>
      <c r="AQ803" s="12"/>
      <c r="AR803" s="12"/>
    </row>
    <row r="804" spans="5:44" ht="15" thickBot="1"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  <c r="AL804" s="12"/>
      <c r="AM804" s="12"/>
      <c r="AN804" s="12"/>
      <c r="AO804" s="12"/>
      <c r="AP804" s="12"/>
      <c r="AQ804" s="12"/>
      <c r="AR804" s="12"/>
    </row>
    <row r="805" spans="5:44" ht="15" thickBot="1"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  <c r="AL805" s="12"/>
      <c r="AM805" s="12"/>
      <c r="AN805" s="12"/>
      <c r="AO805" s="12"/>
      <c r="AP805" s="12"/>
      <c r="AQ805" s="12"/>
      <c r="AR805" s="12"/>
    </row>
    <row r="806" spans="5:44" ht="15" thickBot="1"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  <c r="AL806" s="12"/>
      <c r="AM806" s="12"/>
      <c r="AN806" s="12"/>
      <c r="AO806" s="12"/>
      <c r="AP806" s="12"/>
      <c r="AQ806" s="12"/>
      <c r="AR806" s="12"/>
    </row>
    <row r="807" spans="5:44" ht="15" thickBot="1"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  <c r="AL807" s="12"/>
      <c r="AM807" s="12"/>
      <c r="AN807" s="12"/>
      <c r="AO807" s="12"/>
      <c r="AP807" s="12"/>
      <c r="AQ807" s="12"/>
      <c r="AR807" s="12"/>
    </row>
    <row r="808" spans="5:44" ht="15" thickBot="1"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  <c r="AL808" s="12"/>
      <c r="AM808" s="12"/>
      <c r="AN808" s="12"/>
      <c r="AO808" s="12"/>
      <c r="AP808" s="12"/>
      <c r="AQ808" s="12"/>
      <c r="AR808" s="12"/>
    </row>
    <row r="809" spans="5:44" ht="15" thickBot="1"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  <c r="AL809" s="12"/>
      <c r="AM809" s="12"/>
      <c r="AN809" s="12"/>
      <c r="AO809" s="12"/>
      <c r="AP809" s="12"/>
      <c r="AQ809" s="12"/>
      <c r="AR809" s="12"/>
    </row>
    <row r="810" spans="5:44" ht="15" thickBot="1"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  <c r="AL810" s="12"/>
      <c r="AM810" s="12"/>
      <c r="AN810" s="12"/>
      <c r="AO810" s="12"/>
      <c r="AP810" s="12"/>
      <c r="AQ810" s="12"/>
      <c r="AR810" s="12"/>
    </row>
    <row r="811" spans="5:44" ht="15" thickBot="1"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  <c r="AL811" s="12"/>
      <c r="AM811" s="12"/>
      <c r="AN811" s="12"/>
      <c r="AO811" s="12"/>
      <c r="AP811" s="12"/>
      <c r="AQ811" s="12"/>
      <c r="AR811" s="12"/>
    </row>
    <row r="812" spans="5:44" ht="15" thickBot="1"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  <c r="AL812" s="12"/>
      <c r="AM812" s="12"/>
      <c r="AN812" s="12"/>
      <c r="AO812" s="12"/>
      <c r="AP812" s="12"/>
      <c r="AQ812" s="12"/>
      <c r="AR812" s="12"/>
    </row>
    <row r="813" spans="5:44" ht="15" thickBot="1"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  <c r="AL813" s="12"/>
      <c r="AM813" s="12"/>
      <c r="AN813" s="12"/>
      <c r="AO813" s="12"/>
      <c r="AP813" s="12"/>
      <c r="AQ813" s="12"/>
      <c r="AR813" s="12"/>
    </row>
    <row r="814" spans="5:44" ht="15" thickBot="1"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  <c r="AL814" s="12"/>
      <c r="AM814" s="12"/>
      <c r="AN814" s="12"/>
      <c r="AO814" s="12"/>
      <c r="AP814" s="12"/>
      <c r="AQ814" s="12"/>
      <c r="AR814" s="12"/>
    </row>
    <row r="815" spans="5:44" ht="15" thickBot="1"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  <c r="AL815" s="12"/>
      <c r="AM815" s="12"/>
      <c r="AN815" s="12"/>
      <c r="AO815" s="12"/>
      <c r="AP815" s="12"/>
      <c r="AQ815" s="12"/>
      <c r="AR815" s="12"/>
    </row>
    <row r="816" spans="5:44" ht="15" thickBot="1"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  <c r="AL816" s="12"/>
      <c r="AM816" s="12"/>
      <c r="AN816" s="12"/>
      <c r="AO816" s="12"/>
      <c r="AP816" s="12"/>
      <c r="AQ816" s="12"/>
      <c r="AR816" s="12"/>
    </row>
    <row r="817" spans="5:44" ht="15" thickBot="1"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  <c r="AL817" s="12"/>
      <c r="AM817" s="12"/>
      <c r="AN817" s="12"/>
      <c r="AO817" s="12"/>
      <c r="AP817" s="12"/>
      <c r="AQ817" s="12"/>
      <c r="AR817" s="12"/>
    </row>
    <row r="818" spans="5:44" ht="15" thickBot="1"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  <c r="AL818" s="12"/>
      <c r="AM818" s="12"/>
      <c r="AN818" s="12"/>
      <c r="AO818" s="12"/>
      <c r="AP818" s="12"/>
      <c r="AQ818" s="12"/>
      <c r="AR818" s="12"/>
    </row>
    <row r="819" spans="5:44" ht="15" thickBot="1"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  <c r="AL819" s="12"/>
      <c r="AM819" s="12"/>
      <c r="AN819" s="12"/>
      <c r="AO819" s="12"/>
      <c r="AP819" s="12"/>
      <c r="AQ819" s="12"/>
      <c r="AR819" s="12"/>
    </row>
    <row r="820" spans="5:44" ht="15" thickBot="1"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  <c r="AL820" s="12"/>
      <c r="AM820" s="12"/>
      <c r="AN820" s="12"/>
      <c r="AO820" s="12"/>
      <c r="AP820" s="12"/>
      <c r="AQ820" s="12"/>
      <c r="AR820" s="12"/>
    </row>
    <row r="821" spans="5:44" ht="15" thickBot="1"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  <c r="AL821" s="12"/>
      <c r="AM821" s="12"/>
      <c r="AN821" s="12"/>
      <c r="AO821" s="12"/>
      <c r="AP821" s="12"/>
      <c r="AQ821" s="12"/>
      <c r="AR821" s="12"/>
    </row>
    <row r="822" spans="5:44" ht="15" thickBot="1"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  <c r="AL822" s="12"/>
      <c r="AM822" s="12"/>
      <c r="AN822" s="12"/>
      <c r="AO822" s="12"/>
      <c r="AP822" s="12"/>
      <c r="AQ822" s="12"/>
      <c r="AR822" s="12"/>
    </row>
    <row r="823" spans="5:44" ht="15" thickBot="1"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  <c r="AL823" s="12"/>
      <c r="AM823" s="12"/>
      <c r="AN823" s="12"/>
      <c r="AO823" s="12"/>
      <c r="AP823" s="12"/>
      <c r="AQ823" s="12"/>
      <c r="AR823" s="12"/>
    </row>
    <row r="824" spans="5:44" ht="15" thickBot="1"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  <c r="AL824" s="12"/>
      <c r="AM824" s="12"/>
      <c r="AN824" s="12"/>
      <c r="AO824" s="12"/>
      <c r="AP824" s="12"/>
      <c r="AQ824" s="12"/>
      <c r="AR824" s="12"/>
    </row>
    <row r="825" spans="5:44" ht="15" thickBot="1"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  <c r="AL825" s="12"/>
      <c r="AM825" s="12"/>
      <c r="AN825" s="12"/>
      <c r="AO825" s="12"/>
      <c r="AP825" s="12"/>
      <c r="AQ825" s="12"/>
      <c r="AR825" s="12"/>
    </row>
    <row r="826" spans="5:44" ht="15" thickBot="1"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  <c r="AL826" s="12"/>
      <c r="AM826" s="12"/>
      <c r="AN826" s="12"/>
      <c r="AO826" s="12"/>
      <c r="AP826" s="12"/>
      <c r="AQ826" s="12"/>
      <c r="AR826" s="12"/>
    </row>
    <row r="827" spans="5:44" ht="15" thickBot="1"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  <c r="AL827" s="12"/>
      <c r="AM827" s="12"/>
      <c r="AN827" s="12"/>
      <c r="AO827" s="12"/>
      <c r="AP827" s="12"/>
      <c r="AQ827" s="12"/>
      <c r="AR827" s="12"/>
    </row>
    <row r="828" spans="5:44" ht="15" thickBot="1"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  <c r="AL828" s="12"/>
      <c r="AM828" s="12"/>
      <c r="AN828" s="12"/>
      <c r="AO828" s="12"/>
      <c r="AP828" s="12"/>
      <c r="AQ828" s="12"/>
      <c r="AR828" s="12"/>
    </row>
    <row r="829" spans="5:44" ht="15" thickBot="1"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  <c r="AL829" s="12"/>
      <c r="AM829" s="12"/>
      <c r="AN829" s="12"/>
      <c r="AO829" s="12"/>
      <c r="AP829" s="12"/>
      <c r="AQ829" s="12"/>
      <c r="AR829" s="12"/>
    </row>
    <row r="830" spans="5:44" ht="15" thickBot="1"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  <c r="AL830" s="12"/>
      <c r="AM830" s="12"/>
      <c r="AN830" s="12"/>
      <c r="AO830" s="12"/>
      <c r="AP830" s="12"/>
      <c r="AQ830" s="12"/>
      <c r="AR830" s="12"/>
    </row>
    <row r="831" spans="5:44" ht="15" thickBot="1"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  <c r="AL831" s="12"/>
      <c r="AM831" s="12"/>
      <c r="AN831" s="12"/>
      <c r="AO831" s="12"/>
      <c r="AP831" s="12"/>
      <c r="AQ831" s="12"/>
      <c r="AR831" s="12"/>
    </row>
    <row r="832" spans="5:44" ht="15" thickBot="1"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  <c r="AL832" s="12"/>
      <c r="AM832" s="12"/>
      <c r="AN832" s="12"/>
      <c r="AO832" s="12"/>
      <c r="AP832" s="12"/>
      <c r="AQ832" s="12"/>
      <c r="AR832" s="12"/>
    </row>
    <row r="833" spans="5:44" ht="15" thickBot="1"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  <c r="AL833" s="12"/>
      <c r="AM833" s="12"/>
      <c r="AN833" s="12"/>
      <c r="AO833" s="12"/>
      <c r="AP833" s="12"/>
      <c r="AQ833" s="12"/>
      <c r="AR833" s="12"/>
    </row>
    <row r="834" spans="5:44" ht="15" thickBot="1"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  <c r="AL834" s="12"/>
      <c r="AM834" s="12"/>
      <c r="AN834" s="12"/>
      <c r="AO834" s="12"/>
      <c r="AP834" s="12"/>
      <c r="AQ834" s="12"/>
      <c r="AR834" s="12"/>
    </row>
    <row r="835" spans="5:44" ht="15" thickBot="1"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  <c r="AL835" s="12"/>
      <c r="AM835" s="12"/>
      <c r="AN835" s="12"/>
      <c r="AO835" s="12"/>
      <c r="AP835" s="12"/>
      <c r="AQ835" s="12"/>
      <c r="AR835" s="12"/>
    </row>
    <row r="836" spans="5:44" ht="15" thickBot="1"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  <c r="AL836" s="12"/>
      <c r="AM836" s="12"/>
      <c r="AN836" s="12"/>
      <c r="AO836" s="12"/>
      <c r="AP836" s="12"/>
      <c r="AQ836" s="12"/>
      <c r="AR836" s="12"/>
    </row>
    <row r="837" spans="5:44" ht="15" thickBot="1"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  <c r="AL837" s="12"/>
      <c r="AM837" s="12"/>
      <c r="AN837" s="12"/>
      <c r="AO837" s="12"/>
      <c r="AP837" s="12"/>
      <c r="AQ837" s="12"/>
      <c r="AR837" s="12"/>
    </row>
    <row r="838" spans="5:44" ht="15" thickBot="1"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  <c r="AL838" s="12"/>
      <c r="AM838" s="12"/>
      <c r="AN838" s="12"/>
      <c r="AO838" s="12"/>
      <c r="AP838" s="12"/>
      <c r="AQ838" s="12"/>
      <c r="AR838" s="12"/>
    </row>
    <row r="839" spans="5:44" ht="15" thickBot="1"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  <c r="AL839" s="12"/>
      <c r="AM839" s="12"/>
      <c r="AN839" s="12"/>
      <c r="AO839" s="12"/>
      <c r="AP839" s="12"/>
      <c r="AQ839" s="12"/>
      <c r="AR839" s="12"/>
    </row>
    <row r="840" spans="5:44" ht="15" thickBot="1"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  <c r="AL840" s="12"/>
      <c r="AM840" s="12"/>
      <c r="AN840" s="12"/>
      <c r="AO840" s="12"/>
      <c r="AP840" s="12"/>
      <c r="AQ840" s="12"/>
      <c r="AR840" s="12"/>
    </row>
    <row r="841" spans="5:44" ht="15" thickBot="1"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  <c r="AL841" s="12"/>
      <c r="AM841" s="12"/>
      <c r="AN841" s="12"/>
      <c r="AO841" s="12"/>
      <c r="AP841" s="12"/>
      <c r="AQ841" s="12"/>
      <c r="AR841" s="12"/>
    </row>
    <row r="842" spans="5:44" ht="15" thickBot="1"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  <c r="AL842" s="12"/>
      <c r="AM842" s="12"/>
      <c r="AN842" s="12"/>
      <c r="AO842" s="12"/>
      <c r="AP842" s="12"/>
      <c r="AQ842" s="12"/>
      <c r="AR842" s="12"/>
    </row>
    <row r="843" spans="5:44" ht="15" thickBot="1"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  <c r="AL843" s="12"/>
      <c r="AM843" s="12"/>
      <c r="AN843" s="12"/>
      <c r="AO843" s="12"/>
      <c r="AP843" s="12"/>
      <c r="AQ843" s="12"/>
      <c r="AR843" s="12"/>
    </row>
    <row r="844" spans="5:44" ht="15" thickBot="1"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  <c r="AL844" s="12"/>
      <c r="AM844" s="12"/>
      <c r="AN844" s="12"/>
      <c r="AO844" s="12"/>
      <c r="AP844" s="12"/>
      <c r="AQ844" s="12"/>
      <c r="AR844" s="12"/>
    </row>
    <row r="845" spans="5:44" ht="15" thickBot="1"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  <c r="AL845" s="12"/>
      <c r="AM845" s="12"/>
      <c r="AN845" s="12"/>
      <c r="AO845" s="12"/>
      <c r="AP845" s="12"/>
      <c r="AQ845" s="12"/>
      <c r="AR845" s="12"/>
    </row>
    <row r="846" spans="5:44" ht="15" thickBot="1"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  <c r="AL846" s="12"/>
      <c r="AM846" s="12"/>
      <c r="AN846" s="12"/>
      <c r="AO846" s="12"/>
      <c r="AP846" s="12"/>
      <c r="AQ846" s="12"/>
      <c r="AR846" s="12"/>
    </row>
    <row r="847" spans="5:44" ht="15" thickBot="1"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  <c r="AL847" s="12"/>
      <c r="AM847" s="12"/>
      <c r="AN847" s="12"/>
      <c r="AO847" s="12"/>
      <c r="AP847" s="12"/>
      <c r="AQ847" s="12"/>
      <c r="AR847" s="12"/>
    </row>
    <row r="848" spans="5:44" ht="15" thickBot="1"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  <c r="AL848" s="12"/>
      <c r="AM848" s="12"/>
      <c r="AN848" s="12"/>
      <c r="AO848" s="12"/>
      <c r="AP848" s="12"/>
      <c r="AQ848" s="12"/>
      <c r="AR848" s="12"/>
    </row>
    <row r="849" spans="5:44" ht="15" thickBot="1"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  <c r="AL849" s="12"/>
      <c r="AM849" s="12"/>
      <c r="AN849" s="12"/>
      <c r="AO849" s="12"/>
      <c r="AP849" s="12"/>
      <c r="AQ849" s="12"/>
      <c r="AR849" s="12"/>
    </row>
    <row r="850" spans="5:44" ht="15" thickBot="1"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  <c r="AL850" s="12"/>
      <c r="AM850" s="12"/>
      <c r="AN850" s="12"/>
      <c r="AO850" s="12"/>
      <c r="AP850" s="12"/>
      <c r="AQ850" s="12"/>
      <c r="AR850" s="12"/>
    </row>
    <row r="851" spans="5:44" ht="15" thickBot="1"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  <c r="AL851" s="12"/>
      <c r="AM851" s="12"/>
      <c r="AN851" s="12"/>
      <c r="AO851" s="12"/>
      <c r="AP851" s="12"/>
      <c r="AQ851" s="12"/>
      <c r="AR851" s="12"/>
    </row>
    <row r="852" spans="5:44" ht="15" thickBot="1"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  <c r="AL852" s="12"/>
      <c r="AM852" s="12"/>
      <c r="AN852" s="12"/>
      <c r="AO852" s="12"/>
      <c r="AP852" s="12"/>
      <c r="AQ852" s="12"/>
      <c r="AR852" s="12"/>
    </row>
    <row r="853" spans="5:44" ht="15" thickBot="1"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  <c r="AL853" s="12"/>
      <c r="AM853" s="12"/>
      <c r="AN853" s="12"/>
      <c r="AO853" s="12"/>
      <c r="AP853" s="12"/>
      <c r="AQ853" s="12"/>
      <c r="AR853" s="12"/>
    </row>
    <row r="854" spans="5:44" ht="15" thickBot="1"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  <c r="AL854" s="12"/>
      <c r="AM854" s="12"/>
      <c r="AN854" s="12"/>
      <c r="AO854" s="12"/>
      <c r="AP854" s="12"/>
      <c r="AQ854" s="12"/>
      <c r="AR854" s="12"/>
    </row>
    <row r="855" spans="5:44" ht="15" thickBot="1"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  <c r="AL855" s="12"/>
      <c r="AM855" s="12"/>
      <c r="AN855" s="12"/>
      <c r="AO855" s="12"/>
      <c r="AP855" s="12"/>
      <c r="AQ855" s="12"/>
      <c r="AR855" s="12"/>
    </row>
    <row r="856" spans="5:44" ht="15" thickBot="1"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  <c r="AL856" s="12"/>
      <c r="AM856" s="12"/>
      <c r="AN856" s="12"/>
      <c r="AO856" s="12"/>
      <c r="AP856" s="12"/>
      <c r="AQ856" s="12"/>
      <c r="AR856" s="12"/>
    </row>
    <row r="857" spans="5:44" ht="15" thickBot="1"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  <c r="AL857" s="12"/>
      <c r="AM857" s="12"/>
      <c r="AN857" s="12"/>
      <c r="AO857" s="12"/>
      <c r="AP857" s="12"/>
      <c r="AQ857" s="12"/>
      <c r="AR857" s="12"/>
    </row>
    <row r="858" spans="5:44" ht="15" thickBot="1"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  <c r="AL858" s="12"/>
      <c r="AM858" s="12"/>
      <c r="AN858" s="12"/>
      <c r="AO858" s="12"/>
      <c r="AP858" s="12"/>
      <c r="AQ858" s="12"/>
      <c r="AR858" s="12"/>
    </row>
    <row r="859" spans="5:44" ht="15" thickBot="1"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  <c r="AL859" s="12"/>
      <c r="AM859" s="12"/>
      <c r="AN859" s="12"/>
      <c r="AO859" s="12"/>
      <c r="AP859" s="12"/>
      <c r="AQ859" s="12"/>
      <c r="AR859" s="12"/>
    </row>
    <row r="860" spans="5:44" ht="15" thickBot="1"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  <c r="AL860" s="12"/>
      <c r="AM860" s="12"/>
      <c r="AN860" s="12"/>
      <c r="AO860" s="12"/>
      <c r="AP860" s="12"/>
      <c r="AQ860" s="12"/>
      <c r="AR860" s="12"/>
    </row>
    <row r="861" spans="5:44" ht="15" thickBot="1"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  <c r="AL861" s="12"/>
      <c r="AM861" s="12"/>
      <c r="AN861" s="12"/>
      <c r="AO861" s="12"/>
      <c r="AP861" s="12"/>
      <c r="AQ861" s="12"/>
      <c r="AR861" s="12"/>
    </row>
    <row r="862" spans="5:44" ht="15" thickBot="1"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  <c r="AL862" s="12"/>
      <c r="AM862" s="12"/>
      <c r="AN862" s="12"/>
      <c r="AO862" s="12"/>
      <c r="AP862" s="12"/>
      <c r="AQ862" s="12"/>
      <c r="AR862" s="12"/>
    </row>
    <row r="863" spans="5:44" ht="15" thickBot="1"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  <c r="AL863" s="12"/>
      <c r="AM863" s="12"/>
      <c r="AN863" s="12"/>
      <c r="AO863" s="12"/>
      <c r="AP863" s="12"/>
      <c r="AQ863" s="12"/>
      <c r="AR863" s="12"/>
    </row>
    <row r="864" spans="5:44" ht="15" thickBot="1"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  <c r="AL864" s="12"/>
      <c r="AM864" s="12"/>
      <c r="AN864" s="12"/>
      <c r="AO864" s="12"/>
      <c r="AP864" s="12"/>
      <c r="AQ864" s="12"/>
      <c r="AR864" s="12"/>
    </row>
    <row r="865" spans="5:44" ht="15" thickBot="1"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  <c r="AL865" s="12"/>
      <c r="AM865" s="12"/>
      <c r="AN865" s="12"/>
      <c r="AO865" s="12"/>
      <c r="AP865" s="12"/>
      <c r="AQ865" s="12"/>
      <c r="AR865" s="12"/>
    </row>
    <row r="866" spans="5:44" ht="15" thickBot="1"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  <c r="AL866" s="12"/>
      <c r="AM866" s="12"/>
      <c r="AN866" s="12"/>
      <c r="AO866" s="12"/>
      <c r="AP866" s="12"/>
      <c r="AQ866" s="12"/>
      <c r="AR866" s="12"/>
    </row>
    <row r="867" spans="5:44" ht="15" thickBot="1"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  <c r="AL867" s="12"/>
      <c r="AM867" s="12"/>
      <c r="AN867" s="12"/>
      <c r="AO867" s="12"/>
      <c r="AP867" s="12"/>
      <c r="AQ867" s="12"/>
      <c r="AR867" s="12"/>
    </row>
    <row r="868" spans="5:44" ht="15" thickBot="1"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  <c r="AL868" s="12"/>
      <c r="AM868" s="12"/>
      <c r="AN868" s="12"/>
      <c r="AO868" s="12"/>
      <c r="AP868" s="12"/>
      <c r="AQ868" s="12"/>
      <c r="AR868" s="12"/>
    </row>
    <row r="869" spans="5:44" ht="15" thickBot="1"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  <c r="AL869" s="12"/>
      <c r="AM869" s="12"/>
      <c r="AN869" s="12"/>
      <c r="AO869" s="12"/>
      <c r="AP869" s="12"/>
      <c r="AQ869" s="12"/>
      <c r="AR869" s="12"/>
    </row>
    <row r="870" spans="5:44" ht="15" thickBot="1"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  <c r="AL870" s="12"/>
      <c r="AM870" s="12"/>
      <c r="AN870" s="12"/>
      <c r="AO870" s="12"/>
      <c r="AP870" s="12"/>
      <c r="AQ870" s="12"/>
      <c r="AR870" s="12"/>
    </row>
    <row r="871" spans="5:44" ht="15" thickBot="1"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  <c r="AL871" s="12"/>
      <c r="AM871" s="12"/>
      <c r="AN871" s="12"/>
      <c r="AO871" s="12"/>
      <c r="AP871" s="12"/>
      <c r="AQ871" s="12"/>
      <c r="AR871" s="12"/>
    </row>
    <row r="872" spans="5:44" ht="15" thickBot="1"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  <c r="AL872" s="12"/>
      <c r="AM872" s="12"/>
      <c r="AN872" s="12"/>
      <c r="AO872" s="12"/>
      <c r="AP872" s="12"/>
      <c r="AQ872" s="12"/>
      <c r="AR872" s="12"/>
    </row>
    <row r="873" spans="5:44" ht="15" thickBot="1"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  <c r="AL873" s="12"/>
      <c r="AM873" s="12"/>
      <c r="AN873" s="12"/>
      <c r="AO873" s="12"/>
      <c r="AP873" s="12"/>
      <c r="AQ873" s="12"/>
      <c r="AR873" s="12"/>
    </row>
    <row r="874" spans="5:44" ht="15" thickBot="1"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  <c r="AL874" s="12"/>
      <c r="AM874" s="12"/>
      <c r="AN874" s="12"/>
      <c r="AO874" s="12"/>
      <c r="AP874" s="12"/>
      <c r="AQ874" s="12"/>
      <c r="AR874" s="12"/>
    </row>
    <row r="875" spans="5:44" ht="15" thickBot="1"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  <c r="AL875" s="12"/>
      <c r="AM875" s="12"/>
      <c r="AN875" s="12"/>
      <c r="AO875" s="12"/>
      <c r="AP875" s="12"/>
      <c r="AQ875" s="12"/>
      <c r="AR875" s="12"/>
    </row>
    <row r="876" spans="5:44" ht="15" thickBot="1"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  <c r="AL876" s="12"/>
      <c r="AM876" s="12"/>
      <c r="AN876" s="12"/>
      <c r="AO876" s="12"/>
      <c r="AP876" s="12"/>
      <c r="AQ876" s="12"/>
      <c r="AR876" s="12"/>
    </row>
    <row r="877" spans="5:44" ht="15" thickBot="1"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  <c r="AL877" s="12"/>
      <c r="AM877" s="12"/>
      <c r="AN877" s="12"/>
      <c r="AO877" s="12"/>
      <c r="AP877" s="12"/>
      <c r="AQ877" s="12"/>
      <c r="AR877" s="12"/>
    </row>
    <row r="878" spans="5:44" ht="15" thickBot="1"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  <c r="AL878" s="12"/>
      <c r="AM878" s="12"/>
      <c r="AN878" s="12"/>
      <c r="AO878" s="12"/>
      <c r="AP878" s="12"/>
      <c r="AQ878" s="12"/>
      <c r="AR878" s="12"/>
    </row>
    <row r="879" spans="5:44" ht="15" thickBot="1"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  <c r="AL879" s="12"/>
      <c r="AM879" s="12"/>
      <c r="AN879" s="12"/>
      <c r="AO879" s="12"/>
      <c r="AP879" s="12"/>
      <c r="AQ879" s="12"/>
      <c r="AR879" s="12"/>
    </row>
    <row r="880" spans="5:44" ht="15" thickBot="1"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  <c r="AL880" s="12"/>
      <c r="AM880" s="12"/>
      <c r="AN880" s="12"/>
      <c r="AO880" s="12"/>
      <c r="AP880" s="12"/>
      <c r="AQ880" s="12"/>
      <c r="AR880" s="12"/>
    </row>
    <row r="881" spans="5:44" ht="15" thickBot="1"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  <c r="AL881" s="12"/>
      <c r="AM881" s="12"/>
      <c r="AN881" s="12"/>
      <c r="AO881" s="12"/>
      <c r="AP881" s="12"/>
      <c r="AQ881" s="12"/>
      <c r="AR881" s="12"/>
    </row>
    <row r="882" spans="5:44" ht="15" thickBot="1"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  <c r="AL882" s="12"/>
      <c r="AM882" s="12"/>
      <c r="AN882" s="12"/>
      <c r="AO882" s="12"/>
      <c r="AP882" s="12"/>
      <c r="AQ882" s="12"/>
      <c r="AR882" s="12"/>
    </row>
    <row r="883" spans="5:44" ht="15" thickBot="1"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  <c r="AL883" s="12"/>
      <c r="AM883" s="12"/>
      <c r="AN883" s="12"/>
      <c r="AO883" s="12"/>
      <c r="AP883" s="12"/>
      <c r="AQ883" s="12"/>
      <c r="AR883" s="12"/>
    </row>
    <row r="884" spans="5:44" ht="15" thickBot="1"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  <c r="AL884" s="12"/>
      <c r="AM884" s="12"/>
      <c r="AN884" s="12"/>
      <c r="AO884" s="12"/>
      <c r="AP884" s="12"/>
      <c r="AQ884" s="12"/>
      <c r="AR884" s="12"/>
    </row>
    <row r="885" spans="5:44" ht="15" thickBot="1"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  <c r="AL885" s="12"/>
      <c r="AM885" s="12"/>
      <c r="AN885" s="12"/>
      <c r="AO885" s="12"/>
      <c r="AP885" s="12"/>
      <c r="AQ885" s="12"/>
      <c r="AR885" s="12"/>
    </row>
    <row r="886" spans="5:44" ht="15" thickBot="1"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  <c r="AL886" s="12"/>
      <c r="AM886" s="12"/>
      <c r="AN886" s="12"/>
      <c r="AO886" s="12"/>
      <c r="AP886" s="12"/>
      <c r="AQ886" s="12"/>
      <c r="AR886" s="12"/>
    </row>
    <row r="887" spans="5:44" ht="15" thickBot="1"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  <c r="AL887" s="12"/>
      <c r="AM887" s="12"/>
      <c r="AN887" s="12"/>
      <c r="AO887" s="12"/>
      <c r="AP887" s="12"/>
      <c r="AQ887" s="12"/>
      <c r="AR887" s="12"/>
    </row>
    <row r="888" spans="5:44" ht="15" thickBot="1"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  <c r="AL888" s="12"/>
      <c r="AM888" s="12"/>
      <c r="AN888" s="12"/>
      <c r="AO888" s="12"/>
      <c r="AP888" s="12"/>
      <c r="AQ888" s="12"/>
      <c r="AR888" s="12"/>
    </row>
    <row r="889" spans="5:44" ht="15" thickBot="1"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  <c r="AL889" s="12"/>
      <c r="AM889" s="12"/>
      <c r="AN889" s="12"/>
      <c r="AO889" s="12"/>
      <c r="AP889" s="12"/>
      <c r="AQ889" s="12"/>
      <c r="AR889" s="12"/>
    </row>
    <row r="890" spans="5:44" ht="15" thickBot="1"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  <c r="AL890" s="12"/>
      <c r="AM890" s="12"/>
      <c r="AN890" s="12"/>
      <c r="AO890" s="12"/>
      <c r="AP890" s="12"/>
      <c r="AQ890" s="12"/>
      <c r="AR890" s="12"/>
    </row>
    <row r="891" spans="5:44" ht="15" thickBot="1"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  <c r="AL891" s="12"/>
      <c r="AM891" s="12"/>
      <c r="AN891" s="12"/>
      <c r="AO891" s="12"/>
      <c r="AP891" s="12"/>
      <c r="AQ891" s="12"/>
      <c r="AR891" s="12"/>
    </row>
    <row r="892" spans="5:44" ht="15" thickBot="1"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  <c r="AL892" s="12"/>
      <c r="AM892" s="12"/>
      <c r="AN892" s="12"/>
      <c r="AO892" s="12"/>
      <c r="AP892" s="12"/>
      <c r="AQ892" s="12"/>
      <c r="AR892" s="12"/>
    </row>
    <row r="893" spans="5:44" ht="15" thickBot="1"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  <c r="AL893" s="12"/>
      <c r="AM893" s="12"/>
      <c r="AN893" s="12"/>
      <c r="AO893" s="12"/>
      <c r="AP893" s="12"/>
      <c r="AQ893" s="12"/>
      <c r="AR893" s="12"/>
    </row>
    <row r="894" spans="5:44" ht="15" thickBot="1"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  <c r="AL894" s="12"/>
      <c r="AM894" s="12"/>
      <c r="AN894" s="12"/>
      <c r="AO894" s="12"/>
      <c r="AP894" s="12"/>
      <c r="AQ894" s="12"/>
      <c r="AR894" s="12"/>
    </row>
    <row r="895" spans="5:44" ht="15" thickBot="1"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  <c r="AL895" s="12"/>
      <c r="AM895" s="12"/>
      <c r="AN895" s="12"/>
      <c r="AO895" s="12"/>
      <c r="AP895" s="12"/>
      <c r="AQ895" s="12"/>
      <c r="AR895" s="12"/>
    </row>
    <row r="896" spans="5:44" ht="15" thickBot="1"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  <c r="AL896" s="12"/>
      <c r="AM896" s="12"/>
      <c r="AN896" s="12"/>
      <c r="AO896" s="12"/>
      <c r="AP896" s="12"/>
      <c r="AQ896" s="12"/>
      <c r="AR896" s="12"/>
    </row>
    <row r="897" spans="5:44" ht="15" thickBot="1"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  <c r="AL897" s="12"/>
      <c r="AM897" s="12"/>
      <c r="AN897" s="12"/>
      <c r="AO897" s="12"/>
      <c r="AP897" s="12"/>
      <c r="AQ897" s="12"/>
      <c r="AR897" s="12"/>
    </row>
    <row r="898" spans="5:44" ht="15" thickBot="1"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  <c r="AL898" s="12"/>
      <c r="AM898" s="12"/>
      <c r="AN898" s="12"/>
      <c r="AO898" s="12"/>
      <c r="AP898" s="12"/>
      <c r="AQ898" s="12"/>
      <c r="AR898" s="12"/>
    </row>
    <row r="899" spans="5:44" ht="15" thickBot="1"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  <c r="AL899" s="12"/>
      <c r="AM899" s="12"/>
      <c r="AN899" s="12"/>
      <c r="AO899" s="12"/>
      <c r="AP899" s="12"/>
      <c r="AQ899" s="12"/>
      <c r="AR899" s="12"/>
    </row>
    <row r="900" spans="5:44" ht="15" thickBot="1"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  <c r="AL900" s="12"/>
      <c r="AM900" s="12"/>
      <c r="AN900" s="12"/>
      <c r="AO900" s="12"/>
      <c r="AP900" s="12"/>
      <c r="AQ900" s="12"/>
      <c r="AR900" s="12"/>
    </row>
    <row r="901" spans="5:44" ht="15" thickBot="1"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  <c r="AL901" s="12"/>
      <c r="AM901" s="12"/>
      <c r="AN901" s="12"/>
      <c r="AO901" s="12"/>
      <c r="AP901" s="12"/>
      <c r="AQ901" s="12"/>
      <c r="AR901" s="12"/>
    </row>
    <row r="902" spans="5:44" ht="15" thickBot="1"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  <c r="AL902" s="12"/>
      <c r="AM902" s="12"/>
      <c r="AN902" s="12"/>
      <c r="AO902" s="12"/>
      <c r="AP902" s="12"/>
      <c r="AQ902" s="12"/>
      <c r="AR902" s="12"/>
    </row>
    <row r="903" spans="5:44" ht="15" thickBot="1"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  <c r="AL903" s="12"/>
      <c r="AM903" s="12"/>
      <c r="AN903" s="12"/>
      <c r="AO903" s="12"/>
      <c r="AP903" s="12"/>
      <c r="AQ903" s="12"/>
      <c r="AR903" s="12"/>
    </row>
    <row r="904" spans="5:44" ht="15" thickBot="1"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  <c r="AL904" s="12"/>
      <c r="AM904" s="12"/>
      <c r="AN904" s="12"/>
      <c r="AO904" s="12"/>
      <c r="AP904" s="12"/>
      <c r="AQ904" s="12"/>
      <c r="AR904" s="12"/>
    </row>
    <row r="905" spans="5:44" ht="15" thickBot="1"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  <c r="AL905" s="12"/>
      <c r="AM905" s="12"/>
      <c r="AN905" s="12"/>
      <c r="AO905" s="12"/>
      <c r="AP905" s="12"/>
      <c r="AQ905" s="12"/>
      <c r="AR905" s="12"/>
    </row>
    <row r="906" spans="5:44" ht="15" thickBot="1"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  <c r="AL906" s="12"/>
      <c r="AM906" s="12"/>
      <c r="AN906" s="12"/>
      <c r="AO906" s="12"/>
      <c r="AP906" s="12"/>
      <c r="AQ906" s="12"/>
      <c r="AR906" s="12"/>
    </row>
    <row r="907" spans="5:44" ht="15" thickBot="1"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  <c r="AL907" s="12"/>
      <c r="AM907" s="12"/>
      <c r="AN907" s="12"/>
      <c r="AO907" s="12"/>
      <c r="AP907" s="12"/>
      <c r="AQ907" s="12"/>
      <c r="AR907" s="12"/>
    </row>
    <row r="908" spans="5:44" ht="15" thickBot="1"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  <c r="AL908" s="12"/>
      <c r="AM908" s="12"/>
      <c r="AN908" s="12"/>
      <c r="AO908" s="12"/>
      <c r="AP908" s="12"/>
      <c r="AQ908" s="12"/>
      <c r="AR908" s="12"/>
    </row>
    <row r="909" spans="5:44" ht="15" thickBot="1"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  <c r="AL909" s="12"/>
      <c r="AM909" s="12"/>
      <c r="AN909" s="12"/>
      <c r="AO909" s="12"/>
      <c r="AP909" s="12"/>
      <c r="AQ909" s="12"/>
      <c r="AR909" s="12"/>
    </row>
    <row r="910" spans="5:44" ht="15" thickBot="1"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  <c r="AL910" s="12"/>
      <c r="AM910" s="12"/>
      <c r="AN910" s="12"/>
      <c r="AO910" s="12"/>
      <c r="AP910" s="12"/>
      <c r="AQ910" s="12"/>
      <c r="AR910" s="12"/>
    </row>
    <row r="911" spans="5:44" ht="15" thickBot="1"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  <c r="AL911" s="12"/>
      <c r="AM911" s="12"/>
      <c r="AN911" s="12"/>
      <c r="AO911" s="12"/>
      <c r="AP911" s="12"/>
      <c r="AQ911" s="12"/>
      <c r="AR911" s="12"/>
    </row>
    <row r="912" spans="5:44" ht="15" thickBot="1"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  <c r="AL912" s="12"/>
      <c r="AM912" s="12"/>
      <c r="AN912" s="12"/>
      <c r="AO912" s="12"/>
      <c r="AP912" s="12"/>
      <c r="AQ912" s="12"/>
      <c r="AR912" s="12"/>
    </row>
    <row r="913" spans="5:44" ht="15" thickBot="1"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  <c r="AL913" s="12"/>
      <c r="AM913" s="12"/>
      <c r="AN913" s="12"/>
      <c r="AO913" s="12"/>
      <c r="AP913" s="12"/>
      <c r="AQ913" s="12"/>
      <c r="AR913" s="12"/>
    </row>
    <row r="914" spans="5:44" ht="15" thickBot="1"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  <c r="AL914" s="12"/>
      <c r="AM914" s="12"/>
      <c r="AN914" s="12"/>
      <c r="AO914" s="12"/>
      <c r="AP914" s="12"/>
      <c r="AQ914" s="12"/>
      <c r="AR914" s="12"/>
    </row>
    <row r="915" spans="5:44" ht="15" thickBot="1"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  <c r="AL915" s="12"/>
      <c r="AM915" s="12"/>
      <c r="AN915" s="12"/>
      <c r="AO915" s="12"/>
      <c r="AP915" s="12"/>
      <c r="AQ915" s="12"/>
      <c r="AR915" s="12"/>
    </row>
    <row r="916" spans="5:44" ht="15" thickBot="1"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  <c r="AL916" s="12"/>
      <c r="AM916" s="12"/>
      <c r="AN916" s="12"/>
      <c r="AO916" s="12"/>
      <c r="AP916" s="12"/>
      <c r="AQ916" s="12"/>
      <c r="AR916" s="12"/>
    </row>
    <row r="917" spans="5:44" ht="15" thickBot="1"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  <c r="AL917" s="12"/>
      <c r="AM917" s="12"/>
      <c r="AN917" s="12"/>
      <c r="AO917" s="12"/>
      <c r="AP917" s="12"/>
      <c r="AQ917" s="12"/>
      <c r="AR917" s="12"/>
    </row>
    <row r="918" spans="5:44" ht="15" thickBot="1"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  <c r="AL918" s="12"/>
      <c r="AM918" s="12"/>
      <c r="AN918" s="12"/>
      <c r="AO918" s="12"/>
      <c r="AP918" s="12"/>
      <c r="AQ918" s="12"/>
      <c r="AR918" s="12"/>
    </row>
    <row r="919" spans="5:44" ht="15" thickBot="1"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  <c r="AL919" s="12"/>
      <c r="AM919" s="12"/>
      <c r="AN919" s="12"/>
      <c r="AO919" s="12"/>
      <c r="AP919" s="12"/>
      <c r="AQ919" s="12"/>
      <c r="AR919" s="12"/>
    </row>
    <row r="920" spans="5:44" ht="15" thickBot="1"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  <c r="AL920" s="12"/>
      <c r="AM920" s="12"/>
      <c r="AN920" s="12"/>
      <c r="AO920" s="12"/>
      <c r="AP920" s="12"/>
      <c r="AQ920" s="12"/>
      <c r="AR920" s="12"/>
    </row>
    <row r="921" spans="5:44" ht="15" thickBot="1"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  <c r="AL921" s="12"/>
      <c r="AM921" s="12"/>
      <c r="AN921" s="12"/>
      <c r="AO921" s="12"/>
      <c r="AP921" s="12"/>
      <c r="AQ921" s="12"/>
      <c r="AR921" s="12"/>
    </row>
    <row r="922" spans="5:44" ht="15" thickBot="1"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  <c r="AL922" s="12"/>
      <c r="AM922" s="12"/>
      <c r="AN922" s="12"/>
      <c r="AO922" s="12"/>
      <c r="AP922" s="12"/>
      <c r="AQ922" s="12"/>
      <c r="AR922" s="12"/>
    </row>
    <row r="923" spans="5:44" ht="15" thickBot="1"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  <c r="AL923" s="12"/>
      <c r="AM923" s="12"/>
      <c r="AN923" s="12"/>
      <c r="AO923" s="12"/>
      <c r="AP923" s="12"/>
      <c r="AQ923" s="12"/>
      <c r="AR923" s="12"/>
    </row>
    <row r="924" spans="5:44" ht="15" thickBot="1"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  <c r="AL924" s="12"/>
      <c r="AM924" s="12"/>
      <c r="AN924" s="12"/>
      <c r="AO924" s="12"/>
      <c r="AP924" s="12"/>
      <c r="AQ924" s="12"/>
      <c r="AR924" s="12"/>
    </row>
    <row r="925" spans="5:44" ht="15" thickBot="1"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  <c r="AL925" s="12"/>
      <c r="AM925" s="12"/>
      <c r="AN925" s="12"/>
      <c r="AO925" s="12"/>
      <c r="AP925" s="12"/>
      <c r="AQ925" s="12"/>
      <c r="AR925" s="12"/>
    </row>
    <row r="926" spans="5:44" ht="15" thickBot="1"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  <c r="AL926" s="12"/>
      <c r="AM926" s="12"/>
      <c r="AN926" s="12"/>
      <c r="AO926" s="12"/>
      <c r="AP926" s="12"/>
      <c r="AQ926" s="12"/>
      <c r="AR926" s="12"/>
    </row>
    <row r="927" spans="5:44" ht="15" thickBot="1"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  <c r="AL927" s="12"/>
      <c r="AM927" s="12"/>
      <c r="AN927" s="12"/>
      <c r="AO927" s="12"/>
      <c r="AP927" s="12"/>
      <c r="AQ927" s="12"/>
      <c r="AR927" s="12"/>
    </row>
    <row r="928" spans="5:44" ht="15" thickBot="1"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  <c r="AL928" s="12"/>
      <c r="AM928" s="12"/>
      <c r="AN928" s="12"/>
      <c r="AO928" s="12"/>
      <c r="AP928" s="12"/>
      <c r="AQ928" s="12"/>
      <c r="AR928" s="12"/>
    </row>
    <row r="929" spans="5:44" ht="15" thickBot="1"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  <c r="AL929" s="12"/>
      <c r="AM929" s="12"/>
      <c r="AN929" s="12"/>
      <c r="AO929" s="12"/>
      <c r="AP929" s="12"/>
      <c r="AQ929" s="12"/>
      <c r="AR929" s="12"/>
    </row>
    <row r="930" spans="5:44" ht="15" thickBot="1"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  <c r="AL930" s="12"/>
      <c r="AM930" s="12"/>
      <c r="AN930" s="12"/>
      <c r="AO930" s="12"/>
      <c r="AP930" s="12"/>
      <c r="AQ930" s="12"/>
      <c r="AR930" s="12"/>
    </row>
    <row r="931" spans="5:44" ht="15" thickBot="1"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  <c r="AL931" s="12"/>
      <c r="AM931" s="12"/>
      <c r="AN931" s="12"/>
      <c r="AO931" s="12"/>
      <c r="AP931" s="12"/>
      <c r="AQ931" s="12"/>
      <c r="AR931" s="12"/>
    </row>
    <row r="932" spans="5:44" ht="15" thickBot="1"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  <c r="AL932" s="12"/>
      <c r="AM932" s="12"/>
      <c r="AN932" s="12"/>
      <c r="AO932" s="12"/>
      <c r="AP932" s="12"/>
      <c r="AQ932" s="12"/>
      <c r="AR932" s="12"/>
    </row>
    <row r="933" spans="5:44" ht="15" thickBot="1"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  <c r="AL933" s="12"/>
      <c r="AM933" s="12"/>
      <c r="AN933" s="12"/>
      <c r="AO933" s="12"/>
      <c r="AP933" s="12"/>
      <c r="AQ933" s="12"/>
      <c r="AR933" s="12"/>
    </row>
    <row r="934" spans="5:44" ht="15" thickBot="1"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  <c r="AL934" s="12"/>
      <c r="AM934" s="12"/>
      <c r="AN934" s="12"/>
      <c r="AO934" s="12"/>
      <c r="AP934" s="12"/>
      <c r="AQ934" s="12"/>
      <c r="AR934" s="12"/>
    </row>
    <row r="935" spans="5:44" ht="15" thickBot="1"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  <c r="AL935" s="12"/>
      <c r="AM935" s="12"/>
      <c r="AN935" s="12"/>
      <c r="AO935" s="12"/>
      <c r="AP935" s="12"/>
      <c r="AQ935" s="12"/>
      <c r="AR935" s="12"/>
    </row>
    <row r="936" spans="5:44" ht="15" thickBot="1"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  <c r="AL936" s="12"/>
      <c r="AM936" s="12"/>
      <c r="AN936" s="12"/>
      <c r="AO936" s="12"/>
      <c r="AP936" s="12"/>
      <c r="AQ936" s="12"/>
      <c r="AR936" s="12"/>
    </row>
    <row r="937" spans="5:44" ht="15" thickBot="1"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  <c r="AL937" s="12"/>
      <c r="AM937" s="12"/>
      <c r="AN937" s="12"/>
      <c r="AO937" s="12"/>
      <c r="AP937" s="12"/>
      <c r="AQ937" s="12"/>
      <c r="AR937" s="12"/>
    </row>
    <row r="938" spans="5:44" ht="15" thickBot="1"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  <c r="AL938" s="12"/>
      <c r="AM938" s="12"/>
      <c r="AN938" s="12"/>
      <c r="AO938" s="12"/>
      <c r="AP938" s="12"/>
      <c r="AQ938" s="12"/>
      <c r="AR938" s="12"/>
    </row>
    <row r="939" spans="5:44" ht="15" thickBot="1"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  <c r="AL939" s="12"/>
      <c r="AM939" s="12"/>
      <c r="AN939" s="12"/>
      <c r="AO939" s="12"/>
      <c r="AP939" s="12"/>
      <c r="AQ939" s="12"/>
      <c r="AR939" s="12"/>
    </row>
    <row r="940" spans="5:44" ht="15" thickBot="1"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  <c r="AL940" s="12"/>
      <c r="AM940" s="12"/>
      <c r="AN940" s="12"/>
      <c r="AO940" s="12"/>
      <c r="AP940" s="12"/>
      <c r="AQ940" s="12"/>
      <c r="AR940" s="12"/>
    </row>
    <row r="941" spans="5:44" ht="15" thickBot="1"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  <c r="AL941" s="12"/>
      <c r="AM941" s="12"/>
      <c r="AN941" s="12"/>
      <c r="AO941" s="12"/>
      <c r="AP941" s="12"/>
      <c r="AQ941" s="12"/>
      <c r="AR941" s="12"/>
    </row>
    <row r="942" spans="5:44" ht="15" thickBot="1"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  <c r="AL942" s="12"/>
      <c r="AM942" s="12"/>
      <c r="AN942" s="12"/>
      <c r="AO942" s="12"/>
      <c r="AP942" s="12"/>
      <c r="AQ942" s="12"/>
      <c r="AR942" s="12"/>
    </row>
    <row r="943" spans="5:44" ht="15" thickBot="1"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  <c r="AL943" s="12"/>
      <c r="AM943" s="12"/>
      <c r="AN943" s="12"/>
      <c r="AO943" s="12"/>
      <c r="AP943" s="12"/>
      <c r="AQ943" s="12"/>
      <c r="AR943" s="12"/>
    </row>
    <row r="944" spans="5:44" ht="15" thickBot="1"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  <c r="AL944" s="12"/>
      <c r="AM944" s="12"/>
      <c r="AN944" s="12"/>
      <c r="AO944" s="12"/>
      <c r="AP944" s="12"/>
      <c r="AQ944" s="12"/>
      <c r="AR944" s="12"/>
    </row>
    <row r="945" spans="5:44" ht="15" thickBot="1"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  <c r="AL945" s="12"/>
      <c r="AM945" s="12"/>
      <c r="AN945" s="12"/>
      <c r="AO945" s="12"/>
      <c r="AP945" s="12"/>
      <c r="AQ945" s="12"/>
      <c r="AR945" s="12"/>
    </row>
    <row r="946" spans="5:44" ht="15" thickBot="1"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  <c r="AL946" s="12"/>
      <c r="AM946" s="12"/>
      <c r="AN946" s="12"/>
      <c r="AO946" s="12"/>
      <c r="AP946" s="12"/>
      <c r="AQ946" s="12"/>
      <c r="AR946" s="12"/>
    </row>
    <row r="947" spans="5:44" ht="15" thickBot="1"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  <c r="AL947" s="12"/>
      <c r="AM947" s="12"/>
      <c r="AN947" s="12"/>
      <c r="AO947" s="12"/>
      <c r="AP947" s="12"/>
      <c r="AQ947" s="12"/>
      <c r="AR947" s="12"/>
    </row>
    <row r="948" spans="5:44" ht="15" thickBot="1"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  <c r="AL948" s="12"/>
      <c r="AM948" s="12"/>
      <c r="AN948" s="12"/>
      <c r="AO948" s="12"/>
      <c r="AP948" s="12"/>
      <c r="AQ948" s="12"/>
      <c r="AR948" s="12"/>
    </row>
    <row r="949" spans="5:44" ht="15" thickBot="1"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  <c r="AL949" s="12"/>
      <c r="AM949" s="12"/>
      <c r="AN949" s="12"/>
      <c r="AO949" s="12"/>
      <c r="AP949" s="12"/>
      <c r="AQ949" s="12"/>
      <c r="AR949" s="12"/>
    </row>
    <row r="950" spans="5:44" ht="15" thickBot="1"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  <c r="AL950" s="12"/>
      <c r="AM950" s="12"/>
      <c r="AN950" s="12"/>
      <c r="AO950" s="12"/>
      <c r="AP950" s="12"/>
      <c r="AQ950" s="12"/>
      <c r="AR950" s="12"/>
    </row>
    <row r="951" spans="5:44" ht="15" thickBot="1"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  <c r="AL951" s="12"/>
      <c r="AM951" s="12"/>
      <c r="AN951" s="12"/>
      <c r="AO951" s="12"/>
      <c r="AP951" s="12"/>
      <c r="AQ951" s="12"/>
      <c r="AR951" s="12"/>
    </row>
    <row r="952" spans="5:44" ht="15" thickBot="1"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  <c r="AL952" s="12"/>
      <c r="AM952" s="12"/>
      <c r="AN952" s="12"/>
      <c r="AO952" s="12"/>
      <c r="AP952" s="12"/>
      <c r="AQ952" s="12"/>
      <c r="AR952" s="12"/>
    </row>
    <row r="953" spans="5:44" ht="15" thickBot="1"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  <c r="AL953" s="12"/>
      <c r="AM953" s="12"/>
      <c r="AN953" s="12"/>
      <c r="AO953" s="12"/>
      <c r="AP953" s="12"/>
      <c r="AQ953" s="12"/>
      <c r="AR953" s="12"/>
    </row>
    <row r="954" spans="5:44" ht="15" thickBot="1"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  <c r="AL954" s="12"/>
      <c r="AM954" s="12"/>
      <c r="AN954" s="12"/>
      <c r="AO954" s="12"/>
      <c r="AP954" s="12"/>
      <c r="AQ954" s="12"/>
      <c r="AR954" s="12"/>
    </row>
    <row r="955" spans="5:44" ht="15" thickBot="1"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  <c r="AL955" s="12"/>
      <c r="AM955" s="12"/>
      <c r="AN955" s="12"/>
      <c r="AO955" s="12"/>
      <c r="AP955" s="12"/>
      <c r="AQ955" s="12"/>
      <c r="AR955" s="12"/>
    </row>
    <row r="956" spans="5:44" ht="15" thickBot="1"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  <c r="AL956" s="12"/>
      <c r="AM956" s="12"/>
      <c r="AN956" s="12"/>
      <c r="AO956" s="12"/>
      <c r="AP956" s="12"/>
      <c r="AQ956" s="12"/>
      <c r="AR956" s="12"/>
    </row>
    <row r="957" spans="5:44" ht="15" thickBot="1"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  <c r="AL957" s="12"/>
      <c r="AM957" s="12"/>
      <c r="AN957" s="12"/>
      <c r="AO957" s="12"/>
      <c r="AP957" s="12"/>
      <c r="AQ957" s="12"/>
      <c r="AR957" s="12"/>
    </row>
    <row r="958" spans="5:44" ht="15" thickBot="1"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  <c r="AL958" s="12"/>
      <c r="AM958" s="12"/>
      <c r="AN958" s="12"/>
      <c r="AO958" s="12"/>
      <c r="AP958" s="12"/>
      <c r="AQ958" s="12"/>
      <c r="AR958" s="12"/>
    </row>
    <row r="959" spans="5:44" ht="15" thickBot="1"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  <c r="AL959" s="12"/>
      <c r="AM959" s="12"/>
      <c r="AN959" s="12"/>
      <c r="AO959" s="12"/>
      <c r="AP959" s="12"/>
      <c r="AQ959" s="12"/>
      <c r="AR959" s="12"/>
    </row>
    <row r="960" spans="5:44" ht="15" thickBot="1"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  <c r="AL960" s="12"/>
      <c r="AM960" s="12"/>
      <c r="AN960" s="12"/>
      <c r="AO960" s="12"/>
      <c r="AP960" s="12"/>
      <c r="AQ960" s="12"/>
      <c r="AR960" s="12"/>
    </row>
    <row r="961" spans="5:44" ht="15" thickBot="1"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  <c r="AL961" s="12"/>
      <c r="AM961" s="12"/>
      <c r="AN961" s="12"/>
      <c r="AO961" s="12"/>
      <c r="AP961" s="12"/>
      <c r="AQ961" s="12"/>
      <c r="AR961" s="12"/>
    </row>
    <row r="962" spans="5:44" ht="15" thickBot="1"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  <c r="AL962" s="12"/>
      <c r="AM962" s="12"/>
      <c r="AN962" s="12"/>
      <c r="AO962" s="12"/>
      <c r="AP962" s="12"/>
      <c r="AQ962" s="12"/>
      <c r="AR962" s="12"/>
    </row>
    <row r="963" spans="5:44" ht="15" thickBot="1"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  <c r="AL963" s="12"/>
      <c r="AM963" s="12"/>
      <c r="AN963" s="12"/>
      <c r="AO963" s="12"/>
      <c r="AP963" s="12"/>
      <c r="AQ963" s="12"/>
      <c r="AR963" s="12"/>
    </row>
    <row r="964" spans="5:44" ht="15" thickBot="1"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  <c r="AL964" s="12"/>
      <c r="AM964" s="12"/>
      <c r="AN964" s="12"/>
      <c r="AO964" s="12"/>
      <c r="AP964" s="12"/>
      <c r="AQ964" s="12"/>
      <c r="AR964" s="12"/>
    </row>
    <row r="965" spans="5:44" ht="15" thickBot="1"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  <c r="AL965" s="12"/>
      <c r="AM965" s="12"/>
      <c r="AN965" s="12"/>
      <c r="AO965" s="12"/>
      <c r="AP965" s="12"/>
      <c r="AQ965" s="12"/>
      <c r="AR965" s="12"/>
    </row>
    <row r="966" spans="5:44" ht="15" thickBot="1"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  <c r="AL966" s="12"/>
      <c r="AM966" s="12"/>
      <c r="AN966" s="12"/>
      <c r="AO966" s="12"/>
      <c r="AP966" s="12"/>
      <c r="AQ966" s="12"/>
      <c r="AR966" s="12"/>
    </row>
    <row r="967" spans="5:44" ht="15" thickBot="1"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  <c r="AL967" s="12"/>
      <c r="AM967" s="12"/>
      <c r="AN967" s="12"/>
      <c r="AO967" s="12"/>
      <c r="AP967" s="12"/>
      <c r="AQ967" s="12"/>
      <c r="AR967" s="12"/>
    </row>
    <row r="968" spans="5:44" ht="15" thickBot="1"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  <c r="AL968" s="12"/>
      <c r="AM968" s="12"/>
      <c r="AN968" s="12"/>
      <c r="AO968" s="12"/>
      <c r="AP968" s="12"/>
      <c r="AQ968" s="12"/>
      <c r="AR968" s="12"/>
    </row>
    <row r="969" spans="5:44" ht="15" thickBot="1"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  <c r="AL969" s="12"/>
      <c r="AM969" s="12"/>
      <c r="AN969" s="12"/>
      <c r="AO969" s="12"/>
      <c r="AP969" s="12"/>
      <c r="AQ969" s="12"/>
      <c r="AR969" s="12"/>
    </row>
  </sheetData>
  <mergeCells count="1">
    <mergeCell ref="C3:C6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13AC3-AD09-4B68-9DE5-8B75B6493778}">
  <dimension ref="B3:J13"/>
  <sheetViews>
    <sheetView workbookViewId="0">
      <selection activeCell="B11" sqref="B11"/>
    </sheetView>
  </sheetViews>
  <sheetFormatPr baseColWidth="10" defaultRowHeight="14.25"/>
  <cols>
    <col min="9" max="9" width="13.25" bestFit="1" customWidth="1"/>
  </cols>
  <sheetData>
    <row r="3" spans="2:10">
      <c r="B3" t="s">
        <v>0</v>
      </c>
      <c r="C3" s="46" t="s">
        <v>1</v>
      </c>
      <c r="D3" s="46" t="s">
        <v>2</v>
      </c>
      <c r="E3" s="46" t="s">
        <v>47</v>
      </c>
      <c r="F3" s="46" t="s">
        <v>3</v>
      </c>
      <c r="G3" s="46" t="s">
        <v>4</v>
      </c>
      <c r="H3" s="46" t="s">
        <v>5</v>
      </c>
      <c r="I3" t="s">
        <v>16</v>
      </c>
    </row>
    <row r="4" spans="2:10">
      <c r="B4" t="s">
        <v>18</v>
      </c>
      <c r="C4" s="1">
        <v>46133</v>
      </c>
      <c r="D4" s="1"/>
      <c r="E4" s="28"/>
      <c r="F4" s="28">
        <v>27174</v>
      </c>
      <c r="G4" s="3">
        <v>1.84</v>
      </c>
      <c r="H4" s="28">
        <v>50000</v>
      </c>
      <c r="I4" t="s">
        <v>46</v>
      </c>
    </row>
    <row r="5" spans="2:10">
      <c r="B5" t="s">
        <v>38</v>
      </c>
      <c r="D5" s="1">
        <v>46133</v>
      </c>
      <c r="F5">
        <v>49</v>
      </c>
      <c r="G5">
        <v>175</v>
      </c>
      <c r="H5" s="28">
        <f>+F5*G5</f>
        <v>8575</v>
      </c>
      <c r="I5" t="s">
        <v>118</v>
      </c>
    </row>
    <row r="6" spans="2:10">
      <c r="B6" t="s">
        <v>37</v>
      </c>
      <c r="D6" s="1">
        <v>46133</v>
      </c>
      <c r="F6">
        <v>3603</v>
      </c>
      <c r="G6">
        <v>8.93</v>
      </c>
      <c r="H6" s="28">
        <f>+F6*G6</f>
        <v>32174.789999999997</v>
      </c>
      <c r="I6" t="s">
        <v>40</v>
      </c>
    </row>
    <row r="7" spans="2:10">
      <c r="B7" t="s">
        <v>45</v>
      </c>
      <c r="D7" s="1">
        <v>46134</v>
      </c>
      <c r="F7">
        <v>154</v>
      </c>
      <c r="G7">
        <v>58.55</v>
      </c>
      <c r="H7" s="28">
        <f>+F7*G7</f>
        <v>9016.6999999999989</v>
      </c>
      <c r="I7" t="s">
        <v>46</v>
      </c>
    </row>
    <row r="8" spans="2:10">
      <c r="B8" t="s">
        <v>20</v>
      </c>
      <c r="D8" s="1">
        <v>46134</v>
      </c>
      <c r="F8">
        <v>1346</v>
      </c>
      <c r="G8">
        <v>14.1</v>
      </c>
      <c r="H8" s="28">
        <f>+F8*G8</f>
        <v>18978.599999999999</v>
      </c>
      <c r="I8" t="s">
        <v>40</v>
      </c>
    </row>
    <row r="9" spans="2:10">
      <c r="B9" t="s">
        <v>33</v>
      </c>
      <c r="C9" s="1"/>
      <c r="D9" s="1">
        <v>46134</v>
      </c>
      <c r="E9" s="28"/>
      <c r="F9" s="28">
        <v>554</v>
      </c>
      <c r="G9" s="3">
        <v>16.329999999999998</v>
      </c>
      <c r="H9" s="28">
        <f>+F9*G9</f>
        <v>9046.82</v>
      </c>
      <c r="I9" s="6" t="s">
        <v>40</v>
      </c>
      <c r="J9" s="6"/>
    </row>
    <row r="10" spans="2:10">
      <c r="B10" t="s">
        <v>38</v>
      </c>
      <c r="C10" s="1"/>
      <c r="D10" s="1">
        <v>46134</v>
      </c>
      <c r="E10" s="28"/>
      <c r="F10" s="28">
        <v>49</v>
      </c>
      <c r="G10" s="3">
        <v>192.25</v>
      </c>
      <c r="H10" s="28">
        <f>+F10*G10</f>
        <v>9420.25</v>
      </c>
      <c r="I10" t="s">
        <v>118</v>
      </c>
      <c r="J10" s="6"/>
    </row>
    <row r="11" spans="2:10">
      <c r="B11" t="s">
        <v>20</v>
      </c>
      <c r="C11" s="1"/>
      <c r="D11" s="1">
        <v>46135</v>
      </c>
      <c r="E11" s="28"/>
      <c r="F11" s="28">
        <v>673</v>
      </c>
      <c r="G11" s="3">
        <v>13.48</v>
      </c>
      <c r="H11" s="28">
        <f>+F11*G11</f>
        <v>9072.0400000000009</v>
      </c>
      <c r="I11" s="6" t="s">
        <v>40</v>
      </c>
      <c r="J11" s="6"/>
    </row>
    <row r="12" spans="2:10">
      <c r="D12" s="1"/>
    </row>
    <row r="13" spans="2:10">
      <c r="D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TRACK</vt:lpstr>
      <vt:lpstr>Portfolio</vt:lpstr>
      <vt:lpstr>Precios</vt:lpstr>
      <vt:lpstr>Cost</vt:lpstr>
      <vt:lpstr>Value</vt:lpstr>
      <vt:lpstr>NEW TRADES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B</dc:creator>
  <cp:keywords/>
  <dc:description/>
  <cp:lastModifiedBy>Roberto B</cp:lastModifiedBy>
  <cp:revision/>
  <dcterms:created xsi:type="dcterms:W3CDTF">2025-11-18T19:33:10Z</dcterms:created>
  <dcterms:modified xsi:type="dcterms:W3CDTF">2026-05-09T09:42:27Z</dcterms:modified>
  <cp:category/>
  <cp:contentStatus/>
</cp:coreProperties>
</file>